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 Data\Michael G\2025\251121 GKV-EXP23 CuATSM-d6 microsome\"/>
    </mc:Choice>
  </mc:AlternateContent>
  <bookViews>
    <workbookView xWindow="0" yWindow="0" windowWidth="28800" windowHeight="12300"/>
  </bookViews>
  <sheets>
    <sheet name="concatenate function" sheetId="1" r:id="rId1"/>
    <sheet name="MG sequence template for micro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3" i="1" l="1"/>
  <c r="J183" i="1"/>
  <c r="O182" i="1"/>
  <c r="J182" i="1"/>
  <c r="O105" i="1"/>
  <c r="J105" i="1"/>
  <c r="O106" i="1"/>
  <c r="J106" i="1"/>
  <c r="N155" i="1"/>
  <c r="N180" i="1" s="1"/>
  <c r="O180" i="1" s="1"/>
  <c r="N154" i="1"/>
  <c r="N179" i="1" s="1"/>
  <c r="O179" i="1" s="1"/>
  <c r="N153" i="1"/>
  <c r="N178" i="1" s="1"/>
  <c r="O178" i="1" s="1"/>
  <c r="N152" i="1"/>
  <c r="O152" i="1" s="1"/>
  <c r="N151" i="1"/>
  <c r="N176" i="1" s="1"/>
  <c r="O176" i="1" s="1"/>
  <c r="N150" i="1"/>
  <c r="O150" i="1" s="1"/>
  <c r="N149" i="1"/>
  <c r="O149" i="1" s="1"/>
  <c r="N148" i="1"/>
  <c r="O148" i="1" s="1"/>
  <c r="N147" i="1"/>
  <c r="N172" i="1" s="1"/>
  <c r="O172" i="1" s="1"/>
  <c r="N146" i="1"/>
  <c r="O146" i="1" s="1"/>
  <c r="N145" i="1"/>
  <c r="O145" i="1" s="1"/>
  <c r="N144" i="1"/>
  <c r="O144" i="1" s="1"/>
  <c r="N143" i="1"/>
  <c r="O143" i="1" s="1"/>
  <c r="N142" i="1"/>
  <c r="O142" i="1" s="1"/>
  <c r="N141" i="1"/>
  <c r="O141" i="1" s="1"/>
  <c r="N140" i="1"/>
  <c r="O140" i="1" s="1"/>
  <c r="N139" i="1"/>
  <c r="O139" i="1" s="1"/>
  <c r="N138" i="1"/>
  <c r="N163" i="1" s="1"/>
  <c r="O163" i="1" s="1"/>
  <c r="N137" i="1"/>
  <c r="N162" i="1" s="1"/>
  <c r="O162" i="1" s="1"/>
  <c r="N136" i="1"/>
  <c r="O136" i="1" s="1"/>
  <c r="N135" i="1"/>
  <c r="N160" i="1" s="1"/>
  <c r="O160" i="1" s="1"/>
  <c r="N134" i="1"/>
  <c r="N159" i="1" s="1"/>
  <c r="O159" i="1" s="1"/>
  <c r="N133" i="1"/>
  <c r="N158" i="1" s="1"/>
  <c r="O158" i="1" s="1"/>
  <c r="N132" i="1"/>
  <c r="N157" i="1" s="1"/>
  <c r="O157" i="1" s="1"/>
  <c r="N69" i="1"/>
  <c r="O69" i="1" s="1"/>
  <c r="N66" i="1"/>
  <c r="O66" i="1" s="1"/>
  <c r="N60" i="1"/>
  <c r="N85" i="1" s="1"/>
  <c r="O85" i="1" s="1"/>
  <c r="N53" i="1"/>
  <c r="N78" i="1" s="1"/>
  <c r="O78" i="1" s="1"/>
  <c r="N52" i="1"/>
  <c r="N77" i="1" s="1"/>
  <c r="O77" i="1" s="1"/>
  <c r="N51" i="1"/>
  <c r="N76" i="1" s="1"/>
  <c r="N50" i="1"/>
  <c r="N75" i="1" s="1"/>
  <c r="N49" i="1"/>
  <c r="N74" i="1" s="1"/>
  <c r="N48" i="1"/>
  <c r="O48" i="1" s="1"/>
  <c r="N47" i="1"/>
  <c r="N72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N34" i="1"/>
  <c r="O34" i="1" s="1"/>
  <c r="N33" i="1"/>
  <c r="O33" i="1" s="1"/>
  <c r="N32" i="1"/>
  <c r="O32" i="1" s="1"/>
  <c r="N31" i="1"/>
  <c r="O31" i="1" s="1"/>
  <c r="N30" i="1"/>
  <c r="N55" i="1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5" i="1"/>
  <c r="O54" i="1"/>
  <c r="O79" i="1"/>
  <c r="O104" i="1"/>
  <c r="O181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O156" i="1"/>
  <c r="J156" i="1"/>
  <c r="J155" i="1"/>
  <c r="J154" i="1"/>
  <c r="J153" i="1"/>
  <c r="J152" i="1"/>
  <c r="O151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O135" i="1"/>
  <c r="J135" i="1"/>
  <c r="J134" i="1"/>
  <c r="J133" i="1"/>
  <c r="J132" i="1"/>
  <c r="O131" i="1"/>
  <c r="J131" i="1"/>
  <c r="O130" i="1"/>
  <c r="J130" i="1"/>
  <c r="O129" i="1"/>
  <c r="J129" i="1"/>
  <c r="O128" i="1"/>
  <c r="J128" i="1"/>
  <c r="O127" i="1"/>
  <c r="J127" i="1"/>
  <c r="O126" i="1"/>
  <c r="J126" i="1"/>
  <c r="O125" i="1"/>
  <c r="J125" i="1"/>
  <c r="O124" i="1"/>
  <c r="J124" i="1"/>
  <c r="O123" i="1"/>
  <c r="J123" i="1"/>
  <c r="O122" i="1"/>
  <c r="J122" i="1"/>
  <c r="O121" i="1"/>
  <c r="J121" i="1"/>
  <c r="O120" i="1"/>
  <c r="J120" i="1"/>
  <c r="O119" i="1"/>
  <c r="J119" i="1"/>
  <c r="O118" i="1"/>
  <c r="J118" i="1"/>
  <c r="O117" i="1"/>
  <c r="J117" i="1"/>
  <c r="O116" i="1"/>
  <c r="J116" i="1"/>
  <c r="O115" i="1"/>
  <c r="J115" i="1"/>
  <c r="O114" i="1"/>
  <c r="J114" i="1"/>
  <c r="O113" i="1"/>
  <c r="J113" i="1"/>
  <c r="O112" i="1"/>
  <c r="J112" i="1"/>
  <c r="O111" i="1"/>
  <c r="J111" i="1"/>
  <c r="O110" i="1"/>
  <c r="J110" i="1"/>
  <c r="O109" i="1"/>
  <c r="J109" i="1"/>
  <c r="O108" i="1"/>
  <c r="J108" i="1"/>
  <c r="O107" i="1"/>
  <c r="J107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O53" i="1" l="1"/>
  <c r="N56" i="1"/>
  <c r="O56" i="1" s="1"/>
  <c r="O52" i="1"/>
  <c r="N57" i="1"/>
  <c r="O57" i="1" s="1"/>
  <c r="N58" i="1"/>
  <c r="O58" i="1" s="1"/>
  <c r="O50" i="1"/>
  <c r="O51" i="1"/>
  <c r="N67" i="1"/>
  <c r="O67" i="1" s="1"/>
  <c r="O153" i="1"/>
  <c r="N68" i="1"/>
  <c r="O68" i="1" s="1"/>
  <c r="O137" i="1"/>
  <c r="O76" i="1"/>
  <c r="N101" i="1"/>
  <c r="O101" i="1" s="1"/>
  <c r="N59" i="1"/>
  <c r="O59" i="1" s="1"/>
  <c r="O154" i="1"/>
  <c r="O30" i="1"/>
  <c r="O138" i="1"/>
  <c r="N81" i="1"/>
  <c r="O81" i="1" s="1"/>
  <c r="N173" i="1"/>
  <c r="O173" i="1" s="1"/>
  <c r="O74" i="1"/>
  <c r="N99" i="1"/>
  <c r="O99" i="1" s="1"/>
  <c r="O75" i="1"/>
  <c r="N100" i="1"/>
  <c r="O100" i="1" s="1"/>
  <c r="N97" i="1"/>
  <c r="O97" i="1" s="1"/>
  <c r="O72" i="1"/>
  <c r="O55" i="1"/>
  <c r="N80" i="1"/>
  <c r="O80" i="1" s="1"/>
  <c r="N61" i="1"/>
  <c r="N82" i="1"/>
  <c r="O82" i="1" s="1"/>
  <c r="N102" i="1"/>
  <c r="O102" i="1" s="1"/>
  <c r="O60" i="1"/>
  <c r="N62" i="1"/>
  <c r="N83" i="1"/>
  <c r="O83" i="1" s="1"/>
  <c r="N103" i="1"/>
  <c r="O103" i="1" s="1"/>
  <c r="N63" i="1"/>
  <c r="N64" i="1"/>
  <c r="O155" i="1"/>
  <c r="N65" i="1"/>
  <c r="O49" i="1"/>
  <c r="N71" i="1"/>
  <c r="N170" i="1"/>
  <c r="O170" i="1" s="1"/>
  <c r="O47" i="1"/>
  <c r="N73" i="1"/>
  <c r="N94" i="1"/>
  <c r="O94" i="1" s="1"/>
  <c r="N174" i="1"/>
  <c r="O174" i="1" s="1"/>
  <c r="N70" i="1"/>
  <c r="N91" i="1"/>
  <c r="O91" i="1" s="1"/>
  <c r="N175" i="1"/>
  <c r="O175" i="1" s="1"/>
  <c r="N161" i="1"/>
  <c r="O161" i="1" s="1"/>
  <c r="N165" i="1"/>
  <c r="O165" i="1" s="1"/>
  <c r="N166" i="1"/>
  <c r="O166" i="1" s="1"/>
  <c r="N167" i="1"/>
  <c r="O167" i="1" s="1"/>
  <c r="O132" i="1"/>
  <c r="N168" i="1"/>
  <c r="O168" i="1" s="1"/>
  <c r="O147" i="1"/>
  <c r="N169" i="1"/>
  <c r="O169" i="1" s="1"/>
  <c r="O133" i="1"/>
  <c r="N171" i="1"/>
  <c r="O171" i="1" s="1"/>
  <c r="O134" i="1"/>
  <c r="N164" i="1"/>
  <c r="O164" i="1" s="1"/>
  <c r="N177" i="1"/>
  <c r="O177" i="1" s="1"/>
  <c r="N93" i="1" l="1"/>
  <c r="O93" i="1" s="1"/>
  <c r="N92" i="1"/>
  <c r="O92" i="1" s="1"/>
  <c r="N84" i="1"/>
  <c r="O84" i="1" s="1"/>
  <c r="O65" i="1"/>
  <c r="N90" i="1"/>
  <c r="O90" i="1" s="1"/>
  <c r="O64" i="1"/>
  <c r="N89" i="1"/>
  <c r="O89" i="1" s="1"/>
  <c r="O63" i="1"/>
  <c r="N88" i="1"/>
  <c r="O88" i="1" s="1"/>
  <c r="N87" i="1"/>
  <c r="O87" i="1" s="1"/>
  <c r="O62" i="1"/>
  <c r="N95" i="1"/>
  <c r="O95" i="1" s="1"/>
  <c r="O70" i="1"/>
  <c r="N86" i="1"/>
  <c r="O86" i="1" s="1"/>
  <c r="O61" i="1"/>
  <c r="O73" i="1"/>
  <c r="N98" i="1"/>
  <c r="O98" i="1" s="1"/>
  <c r="N96" i="1"/>
  <c r="O96" i="1" s="1"/>
  <c r="O71" i="1"/>
  <c r="A6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</calcChain>
</file>

<file path=xl/sharedStrings.xml><?xml version="1.0" encoding="utf-8"?>
<sst xmlns="http://schemas.openxmlformats.org/spreadsheetml/2006/main" count="2406" uniqueCount="429">
  <si>
    <t>Bracket Type=4</t>
  </si>
  <si>
    <t>Sample Type</t>
  </si>
  <si>
    <t>File Name</t>
  </si>
  <si>
    <t>Sample ID</t>
  </si>
  <si>
    <t>Path</t>
  </si>
  <si>
    <t>Instrument Method</t>
  </si>
  <si>
    <t>Process Method</t>
  </si>
  <si>
    <t>Calibration File</t>
  </si>
  <si>
    <t>Position</t>
  </si>
  <si>
    <t>Inj Vol</t>
  </si>
  <si>
    <t>Level</t>
  </si>
  <si>
    <t>Sample Wt</t>
  </si>
  <si>
    <t>Sample Vol</t>
  </si>
  <si>
    <t>ISTD Amt</t>
  </si>
  <si>
    <t>Dil Factor</t>
  </si>
  <si>
    <t>L1 Study</t>
  </si>
  <si>
    <t>L2 Client</t>
  </si>
  <si>
    <t>L3 Laboratory</t>
  </si>
  <si>
    <t>L4 Company</t>
  </si>
  <si>
    <t>L5 Phone</t>
  </si>
  <si>
    <t>Comment</t>
  </si>
  <si>
    <t>Sample Name</t>
  </si>
  <si>
    <t>Blank</t>
  </si>
  <si>
    <t>Unknown</t>
  </si>
  <si>
    <t>A</t>
  </si>
  <si>
    <t>t00</t>
  </si>
  <si>
    <t>B</t>
  </si>
  <si>
    <t>C</t>
  </si>
  <si>
    <t>D</t>
  </si>
  <si>
    <t>E</t>
  </si>
  <si>
    <t>F</t>
  </si>
  <si>
    <t>G</t>
  </si>
  <si>
    <t>t10</t>
  </si>
  <si>
    <t>t30</t>
  </si>
  <si>
    <t>t60</t>
  </si>
  <si>
    <t>blank</t>
  </si>
  <si>
    <t>water</t>
  </si>
  <si>
    <t>B:A1</t>
  </si>
  <si>
    <t>B:B1</t>
  </si>
  <si>
    <t>B:C1</t>
  </si>
  <si>
    <t>B:D1</t>
  </si>
  <si>
    <t>B:E1</t>
  </si>
  <si>
    <t>B:A2</t>
  </si>
  <si>
    <t>B:A3</t>
  </si>
  <si>
    <t>B:A4</t>
  </si>
  <si>
    <t>B:A5</t>
  </si>
  <si>
    <t>B:A6</t>
  </si>
  <si>
    <t>B:A7</t>
  </si>
  <si>
    <t>B:A8</t>
  </si>
  <si>
    <t>B:B2</t>
  </si>
  <si>
    <t>B:B3</t>
  </si>
  <si>
    <t>B:B4</t>
  </si>
  <si>
    <t>B:B5</t>
  </si>
  <si>
    <t>B:B6</t>
  </si>
  <si>
    <t>B:B7</t>
  </si>
  <si>
    <t>B:B8</t>
  </si>
  <si>
    <t>B:C2</t>
  </si>
  <si>
    <t>B:C3</t>
  </si>
  <si>
    <t>B:C4</t>
  </si>
  <si>
    <t>B:C5</t>
  </si>
  <si>
    <t>B:C6</t>
  </si>
  <si>
    <t>B:C7</t>
  </si>
  <si>
    <t>B:C8</t>
  </si>
  <si>
    <t>B:D2</t>
  </si>
  <si>
    <t>B:D3</t>
  </si>
  <si>
    <t>B:D4</t>
  </si>
  <si>
    <t>B:D5</t>
  </si>
  <si>
    <t>B:D6</t>
  </si>
  <si>
    <t>B:D7</t>
  </si>
  <si>
    <t>B:D8</t>
  </si>
  <si>
    <t>plate</t>
  </si>
  <si>
    <t>Row</t>
  </si>
  <si>
    <t>pos</t>
  </si>
  <si>
    <t>G:A8</t>
  </si>
  <si>
    <t>H</t>
  </si>
  <si>
    <t>B:F1</t>
  </si>
  <si>
    <t>B:G1</t>
  </si>
  <si>
    <t>B:H1</t>
  </si>
  <si>
    <t>B:E2</t>
  </si>
  <si>
    <t>B:F2</t>
  </si>
  <si>
    <t>B:G2</t>
  </si>
  <si>
    <t>B:H2</t>
  </si>
  <si>
    <t>B:E3</t>
  </si>
  <si>
    <t>B:F3</t>
  </si>
  <si>
    <t>B:G3</t>
  </si>
  <si>
    <t>B:H3</t>
  </si>
  <si>
    <t>B:E4</t>
  </si>
  <si>
    <t>B:F4</t>
  </si>
  <si>
    <t>B:G4</t>
  </si>
  <si>
    <t>B:H4</t>
  </si>
  <si>
    <t>B:E5</t>
  </si>
  <si>
    <t>B:F5</t>
  </si>
  <si>
    <t>B:G5</t>
  </si>
  <si>
    <t>B:H5</t>
  </si>
  <si>
    <t>B:E6</t>
  </si>
  <si>
    <t>B:F6</t>
  </si>
  <si>
    <t>B:G6</t>
  </si>
  <si>
    <t>B:H6</t>
  </si>
  <si>
    <t>run time:</t>
  </si>
  <si>
    <t>start time:</t>
  </si>
  <si>
    <t>handover time:</t>
  </si>
  <si>
    <t>total time (inj to inj):</t>
  </si>
  <si>
    <t>sample information</t>
  </si>
  <si>
    <t>system</t>
  </si>
  <si>
    <t>QC</t>
  </si>
  <si>
    <t>solvent</t>
  </si>
  <si>
    <t>enzyme</t>
  </si>
  <si>
    <t>rpt</t>
  </si>
  <si>
    <t>Repeat</t>
  </si>
  <si>
    <t>inactive</t>
  </si>
  <si>
    <t>no-enz</t>
  </si>
  <si>
    <t>co-factor</t>
  </si>
  <si>
    <t>CuATSM</t>
  </si>
  <si>
    <t>control</t>
  </si>
  <si>
    <t>10uM</t>
  </si>
  <si>
    <t>CuATSM-d6</t>
  </si>
  <si>
    <t>1uM</t>
  </si>
  <si>
    <t>#</t>
  </si>
  <si>
    <t>t02</t>
  </si>
  <si>
    <t>t04</t>
  </si>
  <si>
    <t>t06</t>
  </si>
  <si>
    <t>day</t>
  </si>
  <si>
    <t>Friday</t>
  </si>
  <si>
    <t>Saturday</t>
  </si>
  <si>
    <t>D:\User Data\Michael G\methods\microsome_MS-ddMS2_1-90B_0-15min_col09_100-500mz</t>
  </si>
  <si>
    <t>system_blank_water_rpt-1</t>
  </si>
  <si>
    <t>solvent_blank_water_rpt-1</t>
  </si>
  <si>
    <t>control_enzyme_t00_rpt-1</t>
  </si>
  <si>
    <t>control_enzyme_t00_rpt-2</t>
  </si>
  <si>
    <t>control_enzyme_t00_rpt-3</t>
  </si>
  <si>
    <t>control_inactive_t00_rpt-1</t>
  </si>
  <si>
    <t>control_inactive_t00_rpt-2</t>
  </si>
  <si>
    <t>control_inactive_t00_rpt-3</t>
  </si>
  <si>
    <t>control_no-enz_t00_rpt-1</t>
  </si>
  <si>
    <t>control_no-enz_t00_rpt-2</t>
  </si>
  <si>
    <t>control_no-enz_t00_rpt-3</t>
  </si>
  <si>
    <t>control_co-factor_t00_rpt-1</t>
  </si>
  <si>
    <t>control_co-factor_t00_rpt-2</t>
  </si>
  <si>
    <t>control_co-factor_t00_rpt-3</t>
  </si>
  <si>
    <t>CuATSM_10uM_t00_rpt-1</t>
  </si>
  <si>
    <t>CuATSM_10uM_t00_rpt-2</t>
  </si>
  <si>
    <t>CuATSM_10uM_t00_rpt-3</t>
  </si>
  <si>
    <t>CuATSM_1uM_t00_rpt-1</t>
  </si>
  <si>
    <t>CuATSM_1uM_t00_rpt-2</t>
  </si>
  <si>
    <t>CuATSM_1uM_t00_rpt-3</t>
  </si>
  <si>
    <t>CuATSM-d6_10uM_t00_rpt-1</t>
  </si>
  <si>
    <t>CuATSM-d6_10uM_t00_rpt-2</t>
  </si>
  <si>
    <t>CuATSM-d6_10uM_t00_rpt-3</t>
  </si>
  <si>
    <t>CuATSM-d6_1uM_t00_rpt-1</t>
  </si>
  <si>
    <t>CuATSM-d6_1uM_t00_rpt-2</t>
  </si>
  <si>
    <t>CuATSM-d6_1uM_t00_rpt-3</t>
  </si>
  <si>
    <t>solvent_blank_water_rpt-2</t>
  </si>
  <si>
    <t>control_enzyme_t02_rpt-1</t>
  </si>
  <si>
    <t>control_enzyme_t02_rpt-2</t>
  </si>
  <si>
    <t>control_enzyme_t02_rpt-3</t>
  </si>
  <si>
    <t>control_inactive_t02_rpt-1</t>
  </si>
  <si>
    <t>control_inactive_t02_rpt-2</t>
  </si>
  <si>
    <t>control_inactive_t02_rpt-3</t>
  </si>
  <si>
    <t>control_no-enz_t02_rpt-1</t>
  </si>
  <si>
    <t>control_no-enz_t02_rpt-2</t>
  </si>
  <si>
    <t>control_no-enz_t02_rpt-3</t>
  </si>
  <si>
    <t>control_co-factor_t02_rpt-1</t>
  </si>
  <si>
    <t>control_co-factor_t02_rpt-2</t>
  </si>
  <si>
    <t>control_co-factor_t02_rpt-3</t>
  </si>
  <si>
    <t>CuATSM_10uM_t02_rpt-1</t>
  </si>
  <si>
    <t>CuATSM_10uM_t02_rpt-2</t>
  </si>
  <si>
    <t>CuATSM_10uM_t02_rpt-3</t>
  </si>
  <si>
    <t>CuATSM_1uM_t02_rpt-1</t>
  </si>
  <si>
    <t>CuATSM_1uM_t02_rpt-2</t>
  </si>
  <si>
    <t>CuATSM_1uM_t02_rpt-3</t>
  </si>
  <si>
    <t>CuATSM-d6_10uM_t02_rpt-1</t>
  </si>
  <si>
    <t>CuATSM-d6_10uM_t02_rpt-2</t>
  </si>
  <si>
    <t>CuATSM-d6_10uM_t02_rpt-3</t>
  </si>
  <si>
    <t>CuATSM-d6_1uM_t02_rpt-1</t>
  </si>
  <si>
    <t>CuATSM-d6_1uM_t02_rpt-2</t>
  </si>
  <si>
    <t>CuATSM-d6_1uM_t02_rpt-3</t>
  </si>
  <si>
    <t>solvent_blank_water_rpt-3</t>
  </si>
  <si>
    <t>control_enzyme_t04_rpt-1</t>
  </si>
  <si>
    <t>control_enzyme_t04_rpt-2</t>
  </si>
  <si>
    <t>control_enzyme_t04_rpt-3</t>
  </si>
  <si>
    <t>control_inactive_t04_rpt-1</t>
  </si>
  <si>
    <t>control_inactive_t04_rpt-2</t>
  </si>
  <si>
    <t>control_inactive_t04_rpt-3</t>
  </si>
  <si>
    <t>control_no-enz_t04_rpt-1</t>
  </si>
  <si>
    <t>control_no-enz_t04_rpt-2</t>
  </si>
  <si>
    <t>control_no-enz_t04_rpt-3</t>
  </si>
  <si>
    <t>control_co-factor_t04_rpt-1</t>
  </si>
  <si>
    <t>control_co-factor_t04_rpt-2</t>
  </si>
  <si>
    <t>control_co-factor_t04_rpt-3</t>
  </si>
  <si>
    <t>CuATSM_10uM_t04_rpt-1</t>
  </si>
  <si>
    <t>CuATSM_10uM_t04_rpt-2</t>
  </si>
  <si>
    <t>CuATSM_10uM_t04_rpt-3</t>
  </si>
  <si>
    <t>CuATSM_1uM_t04_rpt-1</t>
  </si>
  <si>
    <t>CuATSM_1uM_t04_rpt-2</t>
  </si>
  <si>
    <t>CuATSM_1uM_t04_rpt-3</t>
  </si>
  <si>
    <t>CuATSM-d6_10uM_t04_rpt-1</t>
  </si>
  <si>
    <t>CuATSM-d6_10uM_t04_rpt-2</t>
  </si>
  <si>
    <t>CuATSM-d6_10uM_t04_rpt-3</t>
  </si>
  <si>
    <t>CuATSM-d6_1uM_t04_rpt-1</t>
  </si>
  <si>
    <t>CuATSM-d6_1uM_t04_rpt-2</t>
  </si>
  <si>
    <t>CuATSM-d6_1uM_t04_rpt-3</t>
  </si>
  <si>
    <t>solvent_blank_water_rpt-4</t>
  </si>
  <si>
    <t>control_enzyme_t06_rpt-1</t>
  </si>
  <si>
    <t>control_enzyme_t06_rpt-2</t>
  </si>
  <si>
    <t>control_enzyme_t06_rpt-3</t>
  </si>
  <si>
    <t>control_inactive_t06_rpt-1</t>
  </si>
  <si>
    <t>control_inactive_t06_rpt-2</t>
  </si>
  <si>
    <t>control_inactive_t06_rpt-3</t>
  </si>
  <si>
    <t>control_no-enz_t06_rpt-1</t>
  </si>
  <si>
    <t>control_no-enz_t06_rpt-2</t>
  </si>
  <si>
    <t>control_no-enz_t06_rpt-3</t>
  </si>
  <si>
    <t>control_co-factor_t06_rpt-1</t>
  </si>
  <si>
    <t>control_co-factor_t06_rpt-2</t>
  </si>
  <si>
    <t>control_co-factor_t06_rpt-3</t>
  </si>
  <si>
    <t>CuATSM_10uM_t06_rpt-1</t>
  </si>
  <si>
    <t>CuATSM_10uM_t06_rpt-2</t>
  </si>
  <si>
    <t>CuATSM_10uM_t06_rpt-3</t>
  </si>
  <si>
    <t>CuATSM_1uM_t06_rpt-1</t>
  </si>
  <si>
    <t>CuATSM_1uM_t06_rpt-2</t>
  </si>
  <si>
    <t>CuATSM_1uM_t06_rpt-3</t>
  </si>
  <si>
    <t>CuATSM-d6_10uM_t06_rpt-1</t>
  </si>
  <si>
    <t>CuATSM-d6_10uM_t06_rpt-2</t>
  </si>
  <si>
    <t>CuATSM-d6_10uM_t06_rpt-3</t>
  </si>
  <si>
    <t>CuATSM-d6_1uM_t06_rpt-1</t>
  </si>
  <si>
    <t>CuATSM-d6_1uM_t06_rpt-2</t>
  </si>
  <si>
    <t>CuATSM-d6_1uM_t06_rpt-3</t>
  </si>
  <si>
    <t>solvent_blank_water_rpt-5</t>
  </si>
  <si>
    <t>solvent_blank_water_rpt-6</t>
  </si>
  <si>
    <t>control_enzyme_t10_rpt-1</t>
  </si>
  <si>
    <t>control_enzyme_t10_rpt-2</t>
  </si>
  <si>
    <t>control_enzyme_t10_rpt-3</t>
  </si>
  <si>
    <t>control_inactive_t10_rpt-1</t>
  </si>
  <si>
    <t>control_inactive_t10_rpt-2</t>
  </si>
  <si>
    <t>control_inactive_t10_rpt-3</t>
  </si>
  <si>
    <t>control_no-enz_t10_rpt-1</t>
  </si>
  <si>
    <t>control_no-enz_t10_rpt-2</t>
  </si>
  <si>
    <t>control_no-enz_t10_rpt-3</t>
  </si>
  <si>
    <t>control_co-factor_t10_rpt-1</t>
  </si>
  <si>
    <t>control_co-factor_t10_rpt-2</t>
  </si>
  <si>
    <t>control_co-factor_t10_rpt-3</t>
  </si>
  <si>
    <t>CuATSM_10uM_t10_rpt-1</t>
  </si>
  <si>
    <t>CuATSM_10uM_t10_rpt-2</t>
  </si>
  <si>
    <t>CuATSM_10uM_t10_rpt-3</t>
  </si>
  <si>
    <t>CuATSM_1uM_t10_rpt-1</t>
  </si>
  <si>
    <t>CuATSM_1uM_t10_rpt-2</t>
  </si>
  <si>
    <t>CuATSM_1uM_t10_rpt-3</t>
  </si>
  <si>
    <t>CuATSM-d6_10uM_t10_rpt-1</t>
  </si>
  <si>
    <t>CuATSM-d6_10uM_t10_rpt-2</t>
  </si>
  <si>
    <t>CuATSM-d6_10uM_t10_rpt-3</t>
  </si>
  <si>
    <t>CuATSM-d6_1uM_t10_rpt-1</t>
  </si>
  <si>
    <t>CuATSM-d6_1uM_t10_rpt-2</t>
  </si>
  <si>
    <t>CuATSM-d6_1uM_t10_rpt-3</t>
  </si>
  <si>
    <t>solvent_blank_water_rpt-7</t>
  </si>
  <si>
    <t>control_enzyme_t30_rpt-1</t>
  </si>
  <si>
    <t>control_enzyme_t30_rpt-2</t>
  </si>
  <si>
    <t>control_enzyme_t30_rpt-3</t>
  </si>
  <si>
    <t>control_inactive_t30_rpt-1</t>
  </si>
  <si>
    <t>control_inactive_t30_rpt-2</t>
  </si>
  <si>
    <t>control_inactive_t30_rpt-3</t>
  </si>
  <si>
    <t>control_no-enz_t30_rpt-1</t>
  </si>
  <si>
    <t>control_no-enz_t30_rpt-2</t>
  </si>
  <si>
    <t>control_no-enz_t30_rpt-3</t>
  </si>
  <si>
    <t>control_co-factor_t30_rpt-1</t>
  </si>
  <si>
    <t>control_co-factor_t30_rpt-2</t>
  </si>
  <si>
    <t>control_co-factor_t30_rpt-3</t>
  </si>
  <si>
    <t>CuATSM_10uM_t30_rpt-1</t>
  </si>
  <si>
    <t>CuATSM_10uM_t30_rpt-2</t>
  </si>
  <si>
    <t>CuATSM_10uM_t30_rpt-3</t>
  </si>
  <si>
    <t>CuATSM_1uM_t30_rpt-1</t>
  </si>
  <si>
    <t>CuATSM_1uM_t30_rpt-2</t>
  </si>
  <si>
    <t>CuATSM_1uM_t30_rpt-3</t>
  </si>
  <si>
    <t>CuATSM-d6_10uM_t30_rpt-1</t>
  </si>
  <si>
    <t>CuATSM-d6_10uM_t30_rpt-2</t>
  </si>
  <si>
    <t>CuATSM-d6_10uM_t30_rpt-3</t>
  </si>
  <si>
    <t>CuATSM-d6_1uM_t30_rpt-1</t>
  </si>
  <si>
    <t>CuATSM-d6_1uM_t30_rpt-2</t>
  </si>
  <si>
    <t>CuATSM-d6_1uM_t30_rpt-3</t>
  </si>
  <si>
    <t>solvent_blank_water_rpt-8</t>
  </si>
  <si>
    <t>control_enzyme_t60_rpt-1</t>
  </si>
  <si>
    <t>control_enzyme_t60_rpt-2</t>
  </si>
  <si>
    <t>control_enzyme_t60_rpt-3</t>
  </si>
  <si>
    <t>control_inactive_t60_rpt-1</t>
  </si>
  <si>
    <t>control_inactive_t60_rpt-2</t>
  </si>
  <si>
    <t>control_inactive_t60_rpt-3</t>
  </si>
  <si>
    <t>control_no-enz_t60_rpt-1</t>
  </si>
  <si>
    <t>control_no-enz_t60_rpt-2</t>
  </si>
  <si>
    <t>control_no-enz_t60_rpt-3</t>
  </si>
  <si>
    <t>control_co-factor_t60_rpt-1</t>
  </si>
  <si>
    <t>control_co-factor_t60_rpt-2</t>
  </si>
  <si>
    <t>control_co-factor_t60_rpt-3</t>
  </si>
  <si>
    <t>CuATSM_10uM_t60_rpt-1</t>
  </si>
  <si>
    <t>CuATSM_10uM_t60_rpt-2</t>
  </si>
  <si>
    <t>CuATSM_10uM_t60_rpt-3</t>
  </si>
  <si>
    <t>CuATSM_1uM_t60_rpt-1</t>
  </si>
  <si>
    <t>CuATSM_1uM_t60_rpt-2</t>
  </si>
  <si>
    <t>CuATSM_1uM_t60_rpt-3</t>
  </si>
  <si>
    <t>CuATSM-d6_10uM_t60_rpt-1</t>
  </si>
  <si>
    <t>CuATSM-d6_10uM_t60_rpt-2</t>
  </si>
  <si>
    <t>CuATSM-d6_10uM_t60_rpt-3</t>
  </si>
  <si>
    <t>CuATSM-d6_1uM_t60_rpt-1</t>
  </si>
  <si>
    <t>CuATSM-d6_1uM_t60_rpt-2</t>
  </si>
  <si>
    <t>CuATSM-d6_1uM_t60_rpt-3</t>
  </si>
  <si>
    <t>solvent_blank_water_rpt-9</t>
  </si>
  <si>
    <t>system_blank_water_rpt-2</t>
  </si>
  <si>
    <t>type and name to copy/paste</t>
  </si>
  <si>
    <t>position to copy/paste</t>
  </si>
  <si>
    <t>G:A9</t>
  </si>
  <si>
    <t>B:E7</t>
  </si>
  <si>
    <t>B:F7</t>
  </si>
  <si>
    <t>B:G7</t>
  </si>
  <si>
    <t>B:G8</t>
  </si>
  <si>
    <t>B:G9</t>
  </si>
  <si>
    <t>B:H7</t>
  </si>
  <si>
    <t>B:H8</t>
  </si>
  <si>
    <t>B:H9</t>
  </si>
  <si>
    <t>B:E8</t>
  </si>
  <si>
    <t>B:F8</t>
  </si>
  <si>
    <t>B:A9</t>
  </si>
  <si>
    <t>B:B9</t>
  </si>
  <si>
    <t>B:C9</t>
  </si>
  <si>
    <t>B:D9</t>
  </si>
  <si>
    <t>B:E9</t>
  </si>
  <si>
    <t>B:F9</t>
  </si>
  <si>
    <t>B:A10</t>
  </si>
  <si>
    <t>B:B10</t>
  </si>
  <si>
    <t>B:C10</t>
  </si>
  <si>
    <t>B:D10</t>
  </si>
  <si>
    <t>B:E10</t>
  </si>
  <si>
    <t>B:F10</t>
  </si>
  <si>
    <t>B:G10</t>
  </si>
  <si>
    <t>B:G11</t>
  </si>
  <si>
    <t>B:G12</t>
  </si>
  <si>
    <t>B:H10</t>
  </si>
  <si>
    <t>B:H11</t>
  </si>
  <si>
    <t>B:H12</t>
  </si>
  <si>
    <t>B:A11</t>
  </si>
  <si>
    <t>B:B11</t>
  </si>
  <si>
    <t>B:C11</t>
  </si>
  <si>
    <t>B:D11</t>
  </si>
  <si>
    <t>B:E11</t>
  </si>
  <si>
    <t>B:F11</t>
  </si>
  <si>
    <t>B:A12</t>
  </si>
  <si>
    <t>B:B12</t>
  </si>
  <si>
    <t>B:C12</t>
  </si>
  <si>
    <t>B:D12</t>
  </si>
  <si>
    <t>B:E12</t>
  </si>
  <si>
    <t>B:F12</t>
  </si>
  <si>
    <t>Y</t>
  </si>
  <si>
    <t>Y:A1</t>
  </si>
  <si>
    <t>Y:B1</t>
  </si>
  <si>
    <t>Y:C1</t>
  </si>
  <si>
    <t>Y:D1</t>
  </si>
  <si>
    <t>Y:E1</t>
  </si>
  <si>
    <t>Y:F1</t>
  </si>
  <si>
    <t>Y:G1</t>
  </si>
  <si>
    <t>Y:G2</t>
  </si>
  <si>
    <t>Y:G3</t>
  </si>
  <si>
    <t>Y:H1</t>
  </si>
  <si>
    <t>Y:H2</t>
  </si>
  <si>
    <t>Y:H3</t>
  </si>
  <si>
    <t>Y:A2</t>
  </si>
  <si>
    <t>Y:B2</t>
  </si>
  <si>
    <t>Y:C2</t>
  </si>
  <si>
    <t>Y:D2</t>
  </si>
  <si>
    <t>Y:E2</t>
  </si>
  <si>
    <t>Y:F2</t>
  </si>
  <si>
    <t>Y:A3</t>
  </si>
  <si>
    <t>Y:B3</t>
  </si>
  <si>
    <t>Y:C3</t>
  </si>
  <si>
    <t>Y:D3</t>
  </si>
  <si>
    <t>Y:E3</t>
  </si>
  <si>
    <t>Y:F3</t>
  </si>
  <si>
    <t>Y:A4</t>
  </si>
  <si>
    <t>Y:B4</t>
  </si>
  <si>
    <t>Y:C4</t>
  </si>
  <si>
    <t>Y:D4</t>
  </si>
  <si>
    <t>Y:E4</t>
  </si>
  <si>
    <t>Y:F4</t>
  </si>
  <si>
    <t>Y:G4</t>
  </si>
  <si>
    <t>Y:G5</t>
  </si>
  <si>
    <t>Y:G6</t>
  </si>
  <si>
    <t>Y:H4</t>
  </si>
  <si>
    <t>Y:H5</t>
  </si>
  <si>
    <t>Y:H6</t>
  </si>
  <si>
    <t>Y:A5</t>
  </si>
  <si>
    <t>Y:B5</t>
  </si>
  <si>
    <t>Y:C5</t>
  </si>
  <si>
    <t>Y:D5</t>
  </si>
  <si>
    <t>Y:E5</t>
  </si>
  <si>
    <t>Y:F5</t>
  </si>
  <si>
    <t>Y:A6</t>
  </si>
  <si>
    <t>Y:B6</t>
  </si>
  <si>
    <t>Y:C6</t>
  </si>
  <si>
    <t>Y:D6</t>
  </si>
  <si>
    <t>Y:E6</t>
  </si>
  <si>
    <t>Y:F6</t>
  </si>
  <si>
    <t>Y:A7</t>
  </si>
  <si>
    <t>Y:B7</t>
  </si>
  <si>
    <t>Y:C7</t>
  </si>
  <si>
    <t>Y:D7</t>
  </si>
  <si>
    <t>Y:E7</t>
  </si>
  <si>
    <t>Y:F7</t>
  </si>
  <si>
    <t>Y:G7</t>
  </si>
  <si>
    <t>Y:G8</t>
  </si>
  <si>
    <t>Y:G9</t>
  </si>
  <si>
    <t>Y:H7</t>
  </si>
  <si>
    <t>Y:H8</t>
  </si>
  <si>
    <t>Y:H9</t>
  </si>
  <si>
    <t>Y:A8</t>
  </si>
  <si>
    <t>Y:B8</t>
  </si>
  <si>
    <t>Y:C8</t>
  </si>
  <si>
    <t>Y:D8</t>
  </si>
  <si>
    <t>Y:E8</t>
  </si>
  <si>
    <t>Y:F8</t>
  </si>
  <si>
    <t>Y:A9</t>
  </si>
  <si>
    <t>Y:B9</t>
  </si>
  <si>
    <t>Y:C9</t>
  </si>
  <si>
    <t>Y:D9</t>
  </si>
  <si>
    <t>Y:E9</t>
  </si>
  <si>
    <t>Y:F9</t>
  </si>
  <si>
    <t>cells to copy to HFX2</t>
  </si>
  <si>
    <t>caffeine-dil10</t>
  </si>
  <si>
    <t>Sunday</t>
  </si>
  <si>
    <t>Monday</t>
  </si>
  <si>
    <t>system_QC_caffeine-dil10_rpt-1</t>
  </si>
  <si>
    <t>system_QC_caffeine-dil10_rpt-2</t>
  </si>
  <si>
    <t>system_QC_caffeine-dil10_rpt-3</t>
  </si>
  <si>
    <t>G:B3</t>
  </si>
  <si>
    <t>D:\User Data\Michael G\2025\251121 GKV-EXP23 CuATSM-d6 microsome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</si>
</sst>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164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 vertical="center"/>
    </xf>
    <xf numFmtId="0" fontId="19" fillId="33" borderId="0" xfId="0" applyFont="1" applyFill="1"/>
    <xf numFmtId="0" fontId="19" fillId="0" borderId="0" xfId="0" applyFont="1"/>
    <xf numFmtId="0" fontId="8" fillId="34" borderId="0" xfId="0" applyFont="1" applyFill="1"/>
    <xf numFmtId="0" fontId="6" fillId="35" borderId="0" xfId="0" applyFont="1" applyFill="1"/>
    <xf numFmtId="0" fontId="7" fillId="36" borderId="0" xfId="0" applyFont="1" applyFill="1"/>
    <xf numFmtId="9" fontId="6" fillId="35" borderId="0" xfId="0" applyNumberFormat="1" applyFont="1" applyFill="1"/>
    <xf numFmtId="0" fontId="19" fillId="0" borderId="0" xfId="0" applyFont="1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37" borderId="0" xfId="0" applyFill="1" applyAlignment="1">
      <alignment horizontal="center" vertical="center"/>
    </xf>
    <xf numFmtId="0" fontId="0" fillId="37" borderId="0" xfId="0" applyFill="1" applyAlignment="1">
      <alignment horizontal="left" vertical="center"/>
    </xf>
    <xf numFmtId="0" fontId="0" fillId="37" borderId="0" xfId="0" applyFill="1"/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3"/>
  <sheetViews>
    <sheetView tabSelected="1" zoomScaleNormal="100" workbookViewId="0">
      <selection activeCell="A2" sqref="A2"/>
    </sheetView>
  </sheetViews>
  <sheetFormatPr defaultRowHeight="15" x14ac:dyDescent="0.25"/>
  <cols>
    <col min="1" max="1" width="21" customWidth="1"/>
    <col min="2" max="2" width="11.42578125" bestFit="1" customWidth="1"/>
    <col min="3" max="3" width="16" customWidth="1"/>
    <col min="4" max="4" width="13.42578125" customWidth="1"/>
    <col min="5" max="5" width="18.5703125" customWidth="1"/>
    <col min="6" max="8" width="9.140625" style="1"/>
    <col min="9" max="9" width="13.7109375" style="1" customWidth="1"/>
    <col min="10" max="10" width="29" style="4" customWidth="1"/>
    <col min="12" max="15" width="9.140625" style="1"/>
  </cols>
  <sheetData>
    <row r="1" spans="1:15" s="2" customFormat="1" x14ac:dyDescent="0.25">
      <c r="A1" s="5" t="s">
        <v>98</v>
      </c>
      <c r="B1" s="5" t="s">
        <v>121</v>
      </c>
      <c r="C1" s="6" t="s">
        <v>99</v>
      </c>
      <c r="D1" s="22" t="s">
        <v>102</v>
      </c>
      <c r="E1" s="22"/>
      <c r="F1" s="3"/>
      <c r="G1" s="3" t="s">
        <v>108</v>
      </c>
      <c r="H1" s="3" t="s">
        <v>117</v>
      </c>
      <c r="I1" s="23" t="s">
        <v>304</v>
      </c>
      <c r="J1" s="23"/>
      <c r="L1" s="3" t="s">
        <v>70</v>
      </c>
      <c r="M1" s="3" t="s">
        <v>71</v>
      </c>
      <c r="N1" s="3" t="s">
        <v>72</v>
      </c>
      <c r="O1" s="21" t="s">
        <v>305</v>
      </c>
    </row>
    <row r="2" spans="1:15" x14ac:dyDescent="0.25">
      <c r="A2" s="5">
        <v>19</v>
      </c>
      <c r="B2" s="8" t="s">
        <v>122</v>
      </c>
      <c r="C2" s="7">
        <v>0.625</v>
      </c>
      <c r="D2" s="11" t="s">
        <v>103</v>
      </c>
      <c r="E2" s="12" t="s">
        <v>35</v>
      </c>
      <c r="F2" s="18" t="s">
        <v>36</v>
      </c>
      <c r="G2" s="18" t="s">
        <v>107</v>
      </c>
      <c r="H2" s="18">
        <v>1</v>
      </c>
      <c r="I2" s="18" t="s">
        <v>22</v>
      </c>
      <c r="J2" s="19" t="str">
        <f>CONCATENATE(D2,"_",E2,"_",F2,"_",G2,"-",H2)</f>
        <v>system_blank_water_rpt-1</v>
      </c>
      <c r="K2" s="20"/>
      <c r="L2" s="18" t="s">
        <v>31</v>
      </c>
      <c r="M2" s="18" t="s">
        <v>24</v>
      </c>
      <c r="N2" s="18">
        <v>8</v>
      </c>
      <c r="O2" s="18" t="str">
        <f t="shared" ref="O2:O65" si="0">CONCATENATE(L2,":",M2,N2)</f>
        <v>G:A8</v>
      </c>
    </row>
    <row r="3" spans="1:15" x14ac:dyDescent="0.25">
      <c r="A3" s="5" t="s">
        <v>100</v>
      </c>
      <c r="B3" s="5"/>
      <c r="C3" s="7">
        <f>C2+($A$6/1440)</f>
        <v>0.63923611111111112</v>
      </c>
      <c r="D3" s="11" t="s">
        <v>103</v>
      </c>
      <c r="E3" s="13" t="s">
        <v>104</v>
      </c>
      <c r="F3" s="1" t="s">
        <v>421</v>
      </c>
      <c r="G3" s="1" t="s">
        <v>107</v>
      </c>
      <c r="H3" s="1">
        <v>1</v>
      </c>
      <c r="I3" s="16" t="s">
        <v>22</v>
      </c>
      <c r="J3" s="17" t="str">
        <f t="shared" ref="J3:J28" si="1">CONCATENATE(D3,"_",E3,"_",F3,"_",G3,"-",H3)</f>
        <v>system_QC_caffeine-dil10_rpt-1</v>
      </c>
      <c r="L3" s="1" t="s">
        <v>31</v>
      </c>
      <c r="M3" s="16" t="s">
        <v>26</v>
      </c>
      <c r="N3" s="16">
        <v>3</v>
      </c>
      <c r="O3" s="1" t="str">
        <f t="shared" si="0"/>
        <v>G:B3</v>
      </c>
    </row>
    <row r="4" spans="1:15" x14ac:dyDescent="0.25">
      <c r="A4" s="8">
        <v>1.5</v>
      </c>
      <c r="B4" s="8"/>
      <c r="C4" s="7">
        <f t="shared" ref="C4:C67" si="2">C3+($A$6/1440)</f>
        <v>0.65347222222222223</v>
      </c>
      <c r="D4" s="12" t="s">
        <v>105</v>
      </c>
      <c r="E4" s="14" t="s">
        <v>35</v>
      </c>
      <c r="F4" s="18" t="s">
        <v>36</v>
      </c>
      <c r="G4" s="18" t="s">
        <v>107</v>
      </c>
      <c r="H4" s="18">
        <v>1</v>
      </c>
      <c r="I4" s="18" t="s">
        <v>22</v>
      </c>
      <c r="J4" s="19" t="str">
        <f t="shared" si="1"/>
        <v>solvent_blank_water_rpt-1</v>
      </c>
      <c r="K4" s="20"/>
      <c r="L4" s="18" t="s">
        <v>31</v>
      </c>
      <c r="M4" s="18" t="s">
        <v>24</v>
      </c>
      <c r="N4" s="18">
        <v>9</v>
      </c>
      <c r="O4" s="18" t="str">
        <f t="shared" si="0"/>
        <v>G:A9</v>
      </c>
    </row>
    <row r="5" spans="1:15" x14ac:dyDescent="0.25">
      <c r="A5" s="5" t="s">
        <v>101</v>
      </c>
      <c r="B5" s="5"/>
      <c r="C5" s="7">
        <f t="shared" si="2"/>
        <v>0.66770833333333335</v>
      </c>
      <c r="D5" t="s">
        <v>113</v>
      </c>
      <c r="E5" t="s">
        <v>106</v>
      </c>
      <c r="F5" s="1" t="s">
        <v>25</v>
      </c>
      <c r="G5" s="1" t="s">
        <v>107</v>
      </c>
      <c r="H5" s="1">
        <v>1</v>
      </c>
      <c r="I5" s="1" t="s">
        <v>23</v>
      </c>
      <c r="J5" s="17" t="str">
        <f t="shared" si="1"/>
        <v>control_enzyme_t00_rpt-1</v>
      </c>
      <c r="L5" s="1" t="s">
        <v>26</v>
      </c>
      <c r="M5" s="1" t="s">
        <v>24</v>
      </c>
      <c r="N5" s="1">
        <v>1</v>
      </c>
      <c r="O5" s="1" t="str">
        <f t="shared" si="0"/>
        <v>B:A1</v>
      </c>
    </row>
    <row r="6" spans="1:15" x14ac:dyDescent="0.25">
      <c r="A6" s="8">
        <f>A2+A4</f>
        <v>20.5</v>
      </c>
      <c r="B6" s="8"/>
      <c r="C6" s="7">
        <f t="shared" si="2"/>
        <v>0.68194444444444446</v>
      </c>
      <c r="D6" t="s">
        <v>113</v>
      </c>
      <c r="E6" t="s">
        <v>106</v>
      </c>
      <c r="F6" s="1" t="s">
        <v>25</v>
      </c>
      <c r="G6" s="1" t="s">
        <v>107</v>
      </c>
      <c r="H6" s="1">
        <v>2</v>
      </c>
      <c r="I6" s="1" t="s">
        <v>23</v>
      </c>
      <c r="J6" s="17" t="str">
        <f t="shared" si="1"/>
        <v>control_enzyme_t00_rpt-2</v>
      </c>
      <c r="L6" s="1" t="s">
        <v>26</v>
      </c>
      <c r="M6" s="1" t="s">
        <v>26</v>
      </c>
      <c r="N6" s="1">
        <v>1</v>
      </c>
      <c r="O6" s="1" t="str">
        <f t="shared" si="0"/>
        <v>B:B1</v>
      </c>
    </row>
    <row r="7" spans="1:15" x14ac:dyDescent="0.25">
      <c r="A7" s="9" t="s">
        <v>420</v>
      </c>
      <c r="B7" s="15"/>
      <c r="C7" s="7">
        <f t="shared" si="2"/>
        <v>0.69618055555555558</v>
      </c>
      <c r="D7" t="s">
        <v>113</v>
      </c>
      <c r="E7" t="s">
        <v>106</v>
      </c>
      <c r="F7" s="1" t="s">
        <v>25</v>
      </c>
      <c r="G7" s="1" t="s">
        <v>107</v>
      </c>
      <c r="H7" s="1">
        <v>3</v>
      </c>
      <c r="I7" s="1" t="s">
        <v>23</v>
      </c>
      <c r="J7" s="17" t="str">
        <f t="shared" si="1"/>
        <v>control_enzyme_t00_rpt-3</v>
      </c>
      <c r="L7" s="1" t="s">
        <v>26</v>
      </c>
      <c r="M7" s="1" t="s">
        <v>27</v>
      </c>
      <c r="N7" s="1">
        <v>1</v>
      </c>
      <c r="O7" s="1" t="str">
        <f t="shared" si="0"/>
        <v>B:C1</v>
      </c>
    </row>
    <row r="8" spans="1:15" x14ac:dyDescent="0.25">
      <c r="A8" s="10"/>
      <c r="B8" s="10"/>
      <c r="C8" s="7">
        <f t="shared" si="2"/>
        <v>0.7104166666666667</v>
      </c>
      <c r="D8" t="s">
        <v>113</v>
      </c>
      <c r="E8" t="s">
        <v>109</v>
      </c>
      <c r="F8" s="1" t="s">
        <v>25</v>
      </c>
      <c r="G8" s="1" t="s">
        <v>107</v>
      </c>
      <c r="H8" s="1">
        <v>1</v>
      </c>
      <c r="I8" s="1" t="s">
        <v>23</v>
      </c>
      <c r="J8" s="17" t="str">
        <f t="shared" si="1"/>
        <v>control_inactive_t00_rpt-1</v>
      </c>
      <c r="L8" s="1" t="s">
        <v>26</v>
      </c>
      <c r="M8" s="1" t="s">
        <v>28</v>
      </c>
      <c r="N8" s="1">
        <v>1</v>
      </c>
      <c r="O8" s="1" t="str">
        <f t="shared" si="0"/>
        <v>B:D1</v>
      </c>
    </row>
    <row r="9" spans="1:15" x14ac:dyDescent="0.25">
      <c r="A9" s="10"/>
      <c r="B9" s="10"/>
      <c r="C9" s="7">
        <f t="shared" si="2"/>
        <v>0.72465277777777781</v>
      </c>
      <c r="D9" t="s">
        <v>113</v>
      </c>
      <c r="E9" t="s">
        <v>109</v>
      </c>
      <c r="F9" s="1" t="s">
        <v>25</v>
      </c>
      <c r="G9" s="1" t="s">
        <v>107</v>
      </c>
      <c r="H9" s="1">
        <v>2</v>
      </c>
      <c r="I9" s="1" t="s">
        <v>23</v>
      </c>
      <c r="J9" s="17" t="str">
        <f t="shared" si="1"/>
        <v>control_inactive_t00_rpt-2</v>
      </c>
      <c r="L9" s="1" t="s">
        <v>26</v>
      </c>
      <c r="M9" s="1" t="s">
        <v>29</v>
      </c>
      <c r="N9" s="1">
        <v>1</v>
      </c>
      <c r="O9" s="1" t="str">
        <f t="shared" si="0"/>
        <v>B:E1</v>
      </c>
    </row>
    <row r="10" spans="1:15" x14ac:dyDescent="0.25">
      <c r="A10" s="10"/>
      <c r="B10" s="10"/>
      <c r="C10" s="7">
        <f t="shared" si="2"/>
        <v>0.73888888888888893</v>
      </c>
      <c r="D10" t="s">
        <v>113</v>
      </c>
      <c r="E10" t="s">
        <v>109</v>
      </c>
      <c r="F10" s="1" t="s">
        <v>25</v>
      </c>
      <c r="G10" s="1" t="s">
        <v>107</v>
      </c>
      <c r="H10" s="1">
        <v>3</v>
      </c>
      <c r="I10" s="1" t="s">
        <v>23</v>
      </c>
      <c r="J10" s="17" t="str">
        <f t="shared" si="1"/>
        <v>control_inactive_t00_rpt-3</v>
      </c>
      <c r="L10" s="1" t="s">
        <v>26</v>
      </c>
      <c r="M10" s="1" t="s">
        <v>30</v>
      </c>
      <c r="N10" s="1">
        <v>1</v>
      </c>
      <c r="O10" s="1" t="str">
        <f t="shared" si="0"/>
        <v>B:F1</v>
      </c>
    </row>
    <row r="11" spans="1:15" x14ac:dyDescent="0.25">
      <c r="A11" s="10"/>
      <c r="B11" s="10"/>
      <c r="C11" s="7">
        <f t="shared" si="2"/>
        <v>0.75312500000000004</v>
      </c>
      <c r="D11" t="s">
        <v>113</v>
      </c>
      <c r="E11" t="s">
        <v>110</v>
      </c>
      <c r="F11" s="1" t="s">
        <v>25</v>
      </c>
      <c r="G11" s="1" t="s">
        <v>107</v>
      </c>
      <c r="H11" s="1">
        <v>1</v>
      </c>
      <c r="I11" s="1" t="s">
        <v>23</v>
      </c>
      <c r="J11" s="17" t="str">
        <f t="shared" si="1"/>
        <v>control_no-enz_t00_rpt-1</v>
      </c>
      <c r="L11" s="1" t="s">
        <v>26</v>
      </c>
      <c r="M11" s="1" t="s">
        <v>31</v>
      </c>
      <c r="N11" s="1">
        <v>1</v>
      </c>
      <c r="O11" s="1" t="str">
        <f t="shared" si="0"/>
        <v>B:G1</v>
      </c>
    </row>
    <row r="12" spans="1:15" x14ac:dyDescent="0.25">
      <c r="A12" s="10"/>
      <c r="B12" s="10"/>
      <c r="C12" s="7">
        <f t="shared" si="2"/>
        <v>0.76736111111111116</v>
      </c>
      <c r="D12" t="s">
        <v>113</v>
      </c>
      <c r="E12" t="s">
        <v>110</v>
      </c>
      <c r="F12" s="1" t="s">
        <v>25</v>
      </c>
      <c r="G12" s="1" t="s">
        <v>107</v>
      </c>
      <c r="H12" s="1">
        <v>2</v>
      </c>
      <c r="I12" s="1" t="s">
        <v>23</v>
      </c>
      <c r="J12" s="17" t="str">
        <f t="shared" si="1"/>
        <v>control_no-enz_t00_rpt-2</v>
      </c>
      <c r="L12" s="1" t="s">
        <v>26</v>
      </c>
      <c r="M12" s="1" t="s">
        <v>31</v>
      </c>
      <c r="N12" s="1">
        <v>2</v>
      </c>
      <c r="O12" s="1" t="str">
        <f t="shared" si="0"/>
        <v>B:G2</v>
      </c>
    </row>
    <row r="13" spans="1:15" x14ac:dyDescent="0.25">
      <c r="A13" s="10"/>
      <c r="B13" s="10"/>
      <c r="C13" s="7">
        <f t="shared" si="2"/>
        <v>0.78159722222222228</v>
      </c>
      <c r="D13" t="s">
        <v>113</v>
      </c>
      <c r="E13" t="s">
        <v>110</v>
      </c>
      <c r="F13" s="1" t="s">
        <v>25</v>
      </c>
      <c r="G13" s="1" t="s">
        <v>107</v>
      </c>
      <c r="H13" s="1">
        <v>3</v>
      </c>
      <c r="I13" s="1" t="s">
        <v>23</v>
      </c>
      <c r="J13" s="17" t="str">
        <f t="shared" si="1"/>
        <v>control_no-enz_t00_rpt-3</v>
      </c>
      <c r="L13" s="1" t="s">
        <v>26</v>
      </c>
      <c r="M13" s="1" t="s">
        <v>31</v>
      </c>
      <c r="N13" s="1">
        <v>3</v>
      </c>
      <c r="O13" s="1" t="str">
        <f t="shared" si="0"/>
        <v>B:G3</v>
      </c>
    </row>
    <row r="14" spans="1:15" x14ac:dyDescent="0.25">
      <c r="A14" s="10"/>
      <c r="B14" s="10"/>
      <c r="C14" s="7">
        <f t="shared" si="2"/>
        <v>0.79583333333333339</v>
      </c>
      <c r="D14" t="s">
        <v>113</v>
      </c>
      <c r="E14" t="s">
        <v>111</v>
      </c>
      <c r="F14" s="1" t="s">
        <v>25</v>
      </c>
      <c r="G14" s="1" t="s">
        <v>107</v>
      </c>
      <c r="H14" s="1">
        <v>1</v>
      </c>
      <c r="I14" s="1" t="s">
        <v>23</v>
      </c>
      <c r="J14" s="17" t="str">
        <f t="shared" si="1"/>
        <v>control_co-factor_t00_rpt-1</v>
      </c>
      <c r="L14" s="1" t="s">
        <v>26</v>
      </c>
      <c r="M14" s="1" t="s">
        <v>74</v>
      </c>
      <c r="N14" s="1">
        <v>1</v>
      </c>
      <c r="O14" s="1" t="str">
        <f t="shared" si="0"/>
        <v>B:H1</v>
      </c>
    </row>
    <row r="15" spans="1:15" x14ac:dyDescent="0.25">
      <c r="A15" s="10"/>
      <c r="B15" s="10"/>
      <c r="C15" s="7">
        <f t="shared" si="2"/>
        <v>0.81006944444444451</v>
      </c>
      <c r="D15" t="s">
        <v>113</v>
      </c>
      <c r="E15" t="s">
        <v>111</v>
      </c>
      <c r="F15" s="1" t="s">
        <v>25</v>
      </c>
      <c r="G15" s="1" t="s">
        <v>107</v>
      </c>
      <c r="H15" s="1">
        <v>2</v>
      </c>
      <c r="I15" s="1" t="s">
        <v>23</v>
      </c>
      <c r="J15" s="17" t="str">
        <f t="shared" si="1"/>
        <v>control_co-factor_t00_rpt-2</v>
      </c>
      <c r="L15" s="1" t="s">
        <v>26</v>
      </c>
      <c r="M15" s="1" t="s">
        <v>74</v>
      </c>
      <c r="N15" s="1">
        <v>2</v>
      </c>
      <c r="O15" s="1" t="str">
        <f t="shared" si="0"/>
        <v>B:H2</v>
      </c>
    </row>
    <row r="16" spans="1:15" x14ac:dyDescent="0.25">
      <c r="A16" s="10"/>
      <c r="B16" s="10"/>
      <c r="C16" s="7">
        <f t="shared" si="2"/>
        <v>0.82430555555555562</v>
      </c>
      <c r="D16" t="s">
        <v>113</v>
      </c>
      <c r="E16" t="s">
        <v>111</v>
      </c>
      <c r="F16" s="1" t="s">
        <v>25</v>
      </c>
      <c r="G16" s="1" t="s">
        <v>107</v>
      </c>
      <c r="H16" s="1">
        <v>3</v>
      </c>
      <c r="I16" s="1" t="s">
        <v>23</v>
      </c>
      <c r="J16" s="17" t="str">
        <f t="shared" si="1"/>
        <v>control_co-factor_t00_rpt-3</v>
      </c>
      <c r="L16" s="1" t="s">
        <v>26</v>
      </c>
      <c r="M16" s="1" t="s">
        <v>74</v>
      </c>
      <c r="N16" s="1">
        <v>3</v>
      </c>
      <c r="O16" s="1" t="str">
        <f t="shared" si="0"/>
        <v>B:H3</v>
      </c>
    </row>
    <row r="17" spans="1:15" x14ac:dyDescent="0.25">
      <c r="A17" s="10"/>
      <c r="B17" s="10"/>
      <c r="C17" s="7">
        <f t="shared" si="2"/>
        <v>0.83854166666666674</v>
      </c>
      <c r="D17" t="s">
        <v>112</v>
      </c>
      <c r="E17" t="s">
        <v>114</v>
      </c>
      <c r="F17" s="1" t="s">
        <v>25</v>
      </c>
      <c r="G17" s="1" t="s">
        <v>107</v>
      </c>
      <c r="H17" s="1">
        <v>1</v>
      </c>
      <c r="I17" s="1" t="s">
        <v>23</v>
      </c>
      <c r="J17" s="17" t="str">
        <f t="shared" si="1"/>
        <v>CuATSM_10uM_t00_rpt-1</v>
      </c>
      <c r="L17" s="1" t="s">
        <v>26</v>
      </c>
      <c r="M17" s="1" t="s">
        <v>24</v>
      </c>
      <c r="N17" s="1">
        <v>2</v>
      </c>
      <c r="O17" s="1" t="str">
        <f t="shared" si="0"/>
        <v>B:A2</v>
      </c>
    </row>
    <row r="18" spans="1:15" x14ac:dyDescent="0.25">
      <c r="A18" s="10"/>
      <c r="B18" s="10"/>
      <c r="C18" s="7">
        <f t="shared" si="2"/>
        <v>0.85277777777777786</v>
      </c>
      <c r="D18" t="s">
        <v>112</v>
      </c>
      <c r="E18" t="s">
        <v>114</v>
      </c>
      <c r="F18" s="1" t="s">
        <v>25</v>
      </c>
      <c r="G18" s="1" t="s">
        <v>107</v>
      </c>
      <c r="H18" s="1">
        <v>2</v>
      </c>
      <c r="I18" s="1" t="s">
        <v>23</v>
      </c>
      <c r="J18" s="17" t="str">
        <f t="shared" si="1"/>
        <v>CuATSM_10uM_t00_rpt-2</v>
      </c>
      <c r="L18" s="1" t="s">
        <v>26</v>
      </c>
      <c r="M18" s="1" t="s">
        <v>26</v>
      </c>
      <c r="N18" s="1">
        <v>2</v>
      </c>
      <c r="O18" s="1" t="str">
        <f t="shared" si="0"/>
        <v>B:B2</v>
      </c>
    </row>
    <row r="19" spans="1:15" x14ac:dyDescent="0.25">
      <c r="A19" s="10"/>
      <c r="B19" s="10"/>
      <c r="C19" s="7">
        <f t="shared" si="2"/>
        <v>0.86701388888888897</v>
      </c>
      <c r="D19" t="s">
        <v>112</v>
      </c>
      <c r="E19" t="s">
        <v>114</v>
      </c>
      <c r="F19" s="1" t="s">
        <v>25</v>
      </c>
      <c r="G19" s="1" t="s">
        <v>107</v>
      </c>
      <c r="H19" s="1">
        <v>3</v>
      </c>
      <c r="I19" s="1" t="s">
        <v>23</v>
      </c>
      <c r="J19" s="17" t="str">
        <f t="shared" si="1"/>
        <v>CuATSM_10uM_t00_rpt-3</v>
      </c>
      <c r="L19" s="1" t="s">
        <v>26</v>
      </c>
      <c r="M19" s="1" t="s">
        <v>27</v>
      </c>
      <c r="N19" s="1">
        <v>2</v>
      </c>
      <c r="O19" s="1" t="str">
        <f t="shared" si="0"/>
        <v>B:C2</v>
      </c>
    </row>
    <row r="20" spans="1:15" x14ac:dyDescent="0.25">
      <c r="A20" s="10"/>
      <c r="B20" s="10"/>
      <c r="C20" s="7">
        <f t="shared" si="2"/>
        <v>0.88125000000000009</v>
      </c>
      <c r="D20" t="s">
        <v>112</v>
      </c>
      <c r="E20" t="s">
        <v>116</v>
      </c>
      <c r="F20" s="1" t="s">
        <v>25</v>
      </c>
      <c r="G20" s="1" t="s">
        <v>107</v>
      </c>
      <c r="H20" s="1">
        <v>1</v>
      </c>
      <c r="I20" s="1" t="s">
        <v>23</v>
      </c>
      <c r="J20" s="17" t="str">
        <f t="shared" si="1"/>
        <v>CuATSM_1uM_t00_rpt-1</v>
      </c>
      <c r="L20" s="1" t="s">
        <v>26</v>
      </c>
      <c r="M20" s="1" t="s">
        <v>28</v>
      </c>
      <c r="N20" s="1">
        <v>2</v>
      </c>
      <c r="O20" s="1" t="str">
        <f t="shared" si="0"/>
        <v>B:D2</v>
      </c>
    </row>
    <row r="21" spans="1:15" x14ac:dyDescent="0.25">
      <c r="A21" s="10"/>
      <c r="B21" s="10"/>
      <c r="C21" s="7">
        <f t="shared" si="2"/>
        <v>0.8954861111111112</v>
      </c>
      <c r="D21" t="s">
        <v>112</v>
      </c>
      <c r="E21" t="s">
        <v>116</v>
      </c>
      <c r="F21" s="1" t="s">
        <v>25</v>
      </c>
      <c r="G21" s="1" t="s">
        <v>107</v>
      </c>
      <c r="H21" s="1">
        <v>2</v>
      </c>
      <c r="I21" s="1" t="s">
        <v>23</v>
      </c>
      <c r="J21" s="17" t="str">
        <f t="shared" si="1"/>
        <v>CuATSM_1uM_t00_rpt-2</v>
      </c>
      <c r="L21" s="1" t="s">
        <v>26</v>
      </c>
      <c r="M21" s="16" t="s">
        <v>29</v>
      </c>
      <c r="N21" s="16">
        <v>2</v>
      </c>
      <c r="O21" s="1" t="str">
        <f t="shared" si="0"/>
        <v>B:E2</v>
      </c>
    </row>
    <row r="22" spans="1:15" x14ac:dyDescent="0.25">
      <c r="A22" s="10"/>
      <c r="B22" s="10"/>
      <c r="C22" s="7">
        <f t="shared" si="2"/>
        <v>0.90972222222222232</v>
      </c>
      <c r="D22" t="s">
        <v>112</v>
      </c>
      <c r="E22" t="s">
        <v>116</v>
      </c>
      <c r="F22" s="1" t="s">
        <v>25</v>
      </c>
      <c r="G22" s="1" t="s">
        <v>107</v>
      </c>
      <c r="H22" s="1">
        <v>3</v>
      </c>
      <c r="I22" s="1" t="s">
        <v>23</v>
      </c>
      <c r="J22" s="17" t="str">
        <f t="shared" si="1"/>
        <v>CuATSM_1uM_t00_rpt-3</v>
      </c>
      <c r="L22" s="1" t="s">
        <v>26</v>
      </c>
      <c r="M22" s="1" t="s">
        <v>30</v>
      </c>
      <c r="N22" s="1">
        <v>2</v>
      </c>
      <c r="O22" s="1" t="str">
        <f t="shared" si="0"/>
        <v>B:F2</v>
      </c>
    </row>
    <row r="23" spans="1:15" x14ac:dyDescent="0.25">
      <c r="A23" s="10"/>
      <c r="B23" s="10"/>
      <c r="C23" s="7">
        <f t="shared" si="2"/>
        <v>0.92395833333333344</v>
      </c>
      <c r="D23" t="s">
        <v>115</v>
      </c>
      <c r="E23" t="s">
        <v>114</v>
      </c>
      <c r="F23" s="1" t="s">
        <v>25</v>
      </c>
      <c r="G23" s="1" t="s">
        <v>107</v>
      </c>
      <c r="H23" s="1">
        <v>1</v>
      </c>
      <c r="I23" s="1" t="s">
        <v>23</v>
      </c>
      <c r="J23" s="17" t="str">
        <f t="shared" si="1"/>
        <v>CuATSM-d6_10uM_t00_rpt-1</v>
      </c>
      <c r="L23" s="1" t="s">
        <v>26</v>
      </c>
      <c r="M23" s="1" t="s">
        <v>24</v>
      </c>
      <c r="N23" s="1">
        <v>3</v>
      </c>
      <c r="O23" s="1" t="str">
        <f t="shared" si="0"/>
        <v>B:A3</v>
      </c>
    </row>
    <row r="24" spans="1:15" x14ac:dyDescent="0.25">
      <c r="A24" s="10"/>
      <c r="B24" s="10"/>
      <c r="C24" s="7">
        <f t="shared" si="2"/>
        <v>0.93819444444444455</v>
      </c>
      <c r="D24" t="s">
        <v>115</v>
      </c>
      <c r="E24" t="s">
        <v>114</v>
      </c>
      <c r="F24" s="1" t="s">
        <v>25</v>
      </c>
      <c r="G24" s="1" t="s">
        <v>107</v>
      </c>
      <c r="H24" s="1">
        <v>2</v>
      </c>
      <c r="I24" s="1" t="s">
        <v>23</v>
      </c>
      <c r="J24" s="17" t="str">
        <f t="shared" si="1"/>
        <v>CuATSM-d6_10uM_t00_rpt-2</v>
      </c>
      <c r="L24" s="1" t="s">
        <v>26</v>
      </c>
      <c r="M24" s="1" t="s">
        <v>26</v>
      </c>
      <c r="N24" s="1">
        <v>3</v>
      </c>
      <c r="O24" s="1" t="str">
        <f t="shared" si="0"/>
        <v>B:B3</v>
      </c>
    </row>
    <row r="25" spans="1:15" x14ac:dyDescent="0.25">
      <c r="A25" s="10"/>
      <c r="B25" s="10"/>
      <c r="C25" s="7">
        <f t="shared" si="2"/>
        <v>0.95243055555555567</v>
      </c>
      <c r="D25" t="s">
        <v>115</v>
      </c>
      <c r="E25" t="s">
        <v>114</v>
      </c>
      <c r="F25" s="1" t="s">
        <v>25</v>
      </c>
      <c r="G25" s="1" t="s">
        <v>107</v>
      </c>
      <c r="H25" s="1">
        <v>3</v>
      </c>
      <c r="I25" s="1" t="s">
        <v>23</v>
      </c>
      <c r="J25" s="17" t="str">
        <f t="shared" si="1"/>
        <v>CuATSM-d6_10uM_t00_rpt-3</v>
      </c>
      <c r="L25" s="1" t="s">
        <v>26</v>
      </c>
      <c r="M25" s="1" t="s">
        <v>27</v>
      </c>
      <c r="N25" s="1">
        <v>3</v>
      </c>
      <c r="O25" s="1" t="str">
        <f t="shared" si="0"/>
        <v>B:C3</v>
      </c>
    </row>
    <row r="26" spans="1:15" x14ac:dyDescent="0.25">
      <c r="A26" s="10"/>
      <c r="C26" s="7">
        <f t="shared" si="2"/>
        <v>0.96666666666666679</v>
      </c>
      <c r="D26" t="s">
        <v>115</v>
      </c>
      <c r="E26" t="s">
        <v>116</v>
      </c>
      <c r="F26" s="1" t="s">
        <v>25</v>
      </c>
      <c r="G26" s="1" t="s">
        <v>107</v>
      </c>
      <c r="H26" s="1">
        <v>1</v>
      </c>
      <c r="I26" s="1" t="s">
        <v>23</v>
      </c>
      <c r="J26" s="17" t="str">
        <f t="shared" si="1"/>
        <v>CuATSM-d6_1uM_t00_rpt-1</v>
      </c>
      <c r="L26" s="1" t="s">
        <v>26</v>
      </c>
      <c r="M26" s="1" t="s">
        <v>28</v>
      </c>
      <c r="N26" s="1">
        <v>3</v>
      </c>
      <c r="O26" s="1" t="str">
        <f t="shared" si="0"/>
        <v>B:D3</v>
      </c>
    </row>
    <row r="27" spans="1:15" x14ac:dyDescent="0.25">
      <c r="A27" s="10"/>
      <c r="B27" s="10"/>
      <c r="C27" s="7">
        <f t="shared" si="2"/>
        <v>0.9809027777777779</v>
      </c>
      <c r="D27" t="s">
        <v>115</v>
      </c>
      <c r="E27" t="s">
        <v>116</v>
      </c>
      <c r="F27" s="1" t="s">
        <v>25</v>
      </c>
      <c r="G27" s="1" t="s">
        <v>107</v>
      </c>
      <c r="H27" s="1">
        <v>2</v>
      </c>
      <c r="I27" s="1" t="s">
        <v>23</v>
      </c>
      <c r="J27" s="17" t="str">
        <f t="shared" si="1"/>
        <v>CuATSM-d6_1uM_t00_rpt-2</v>
      </c>
      <c r="L27" s="1" t="s">
        <v>26</v>
      </c>
      <c r="M27" s="1" t="s">
        <v>29</v>
      </c>
      <c r="N27" s="1">
        <v>3</v>
      </c>
      <c r="O27" s="1" t="str">
        <f t="shared" si="0"/>
        <v>B:E3</v>
      </c>
    </row>
    <row r="28" spans="1:15" x14ac:dyDescent="0.25">
      <c r="A28" s="10"/>
      <c r="B28" s="10"/>
      <c r="C28" s="7">
        <f t="shared" si="2"/>
        <v>0.99513888888888902</v>
      </c>
      <c r="D28" t="s">
        <v>115</v>
      </c>
      <c r="E28" t="s">
        <v>116</v>
      </c>
      <c r="F28" s="1" t="s">
        <v>25</v>
      </c>
      <c r="G28" s="1" t="s">
        <v>107</v>
      </c>
      <c r="H28" s="1">
        <v>3</v>
      </c>
      <c r="I28" s="1" t="s">
        <v>23</v>
      </c>
      <c r="J28" s="17" t="str">
        <f t="shared" si="1"/>
        <v>CuATSM-d6_1uM_t00_rpt-3</v>
      </c>
      <c r="L28" s="1" t="s">
        <v>26</v>
      </c>
      <c r="M28" s="1" t="s">
        <v>30</v>
      </c>
      <c r="N28" s="1">
        <v>3</v>
      </c>
      <c r="O28" s="1" t="str">
        <f t="shared" si="0"/>
        <v>B:F3</v>
      </c>
    </row>
    <row r="29" spans="1:15" x14ac:dyDescent="0.25">
      <c r="A29" s="10"/>
      <c r="B29" s="10" t="s">
        <v>123</v>
      </c>
      <c r="C29" s="7">
        <f t="shared" si="2"/>
        <v>1.0093750000000001</v>
      </c>
      <c r="D29" s="12" t="s">
        <v>105</v>
      </c>
      <c r="E29" s="14" t="s">
        <v>35</v>
      </c>
      <c r="F29" s="18" t="s">
        <v>36</v>
      </c>
      <c r="G29" s="18" t="s">
        <v>107</v>
      </c>
      <c r="H29" s="18">
        <v>2</v>
      </c>
      <c r="I29" s="18" t="s">
        <v>22</v>
      </c>
      <c r="J29" s="19" t="str">
        <f t="shared" ref="J29:J53" si="3">CONCATENATE(D29,"_",E29,"_",F29,"_",G29,"-",H29)</f>
        <v>solvent_blank_water_rpt-2</v>
      </c>
      <c r="K29" s="20"/>
      <c r="L29" s="18" t="s">
        <v>31</v>
      </c>
      <c r="M29" s="18" t="s">
        <v>24</v>
      </c>
      <c r="N29" s="18">
        <v>9</v>
      </c>
      <c r="O29" s="18" t="str">
        <f t="shared" si="0"/>
        <v>G:A9</v>
      </c>
    </row>
    <row r="30" spans="1:15" x14ac:dyDescent="0.25">
      <c r="A30" s="10"/>
      <c r="B30" s="10"/>
      <c r="C30" s="7">
        <f t="shared" si="2"/>
        <v>1.0236111111111112</v>
      </c>
      <c r="D30" t="s">
        <v>113</v>
      </c>
      <c r="E30" t="s">
        <v>106</v>
      </c>
      <c r="F30" s="1" t="s">
        <v>118</v>
      </c>
      <c r="G30" s="1" t="s">
        <v>107</v>
      </c>
      <c r="H30" s="1">
        <v>1</v>
      </c>
      <c r="I30" s="1" t="s">
        <v>23</v>
      </c>
      <c r="J30" s="17" t="str">
        <f t="shared" si="3"/>
        <v>control_enzyme_t02_rpt-1</v>
      </c>
      <c r="L30" s="1" t="s">
        <v>26</v>
      </c>
      <c r="M30" s="1" t="s">
        <v>24</v>
      </c>
      <c r="N30" s="1">
        <f>N5+3</f>
        <v>4</v>
      </c>
      <c r="O30" s="1" t="str">
        <f t="shared" si="0"/>
        <v>B:A4</v>
      </c>
    </row>
    <row r="31" spans="1:15" x14ac:dyDescent="0.25">
      <c r="A31" s="10"/>
      <c r="B31" s="10"/>
      <c r="C31" s="7">
        <f t="shared" si="2"/>
        <v>1.0378472222222224</v>
      </c>
      <c r="D31" t="s">
        <v>113</v>
      </c>
      <c r="E31" t="s">
        <v>106</v>
      </c>
      <c r="F31" s="1" t="s">
        <v>118</v>
      </c>
      <c r="G31" s="1" t="s">
        <v>107</v>
      </c>
      <c r="H31" s="1">
        <v>2</v>
      </c>
      <c r="I31" s="1" t="s">
        <v>23</v>
      </c>
      <c r="J31" s="17" t="str">
        <f t="shared" si="3"/>
        <v>control_enzyme_t02_rpt-2</v>
      </c>
      <c r="L31" s="1" t="s">
        <v>26</v>
      </c>
      <c r="M31" s="1" t="s">
        <v>26</v>
      </c>
      <c r="N31" s="1">
        <f t="shared" ref="N31:N53" si="4">N6+3</f>
        <v>4</v>
      </c>
      <c r="O31" s="1" t="str">
        <f t="shared" si="0"/>
        <v>B:B4</v>
      </c>
    </row>
    <row r="32" spans="1:15" x14ac:dyDescent="0.25">
      <c r="A32" s="10"/>
      <c r="B32" s="10"/>
      <c r="C32" s="7">
        <f t="shared" si="2"/>
        <v>1.0520833333333335</v>
      </c>
      <c r="D32" t="s">
        <v>113</v>
      </c>
      <c r="E32" t="s">
        <v>106</v>
      </c>
      <c r="F32" s="1" t="s">
        <v>118</v>
      </c>
      <c r="G32" s="1" t="s">
        <v>107</v>
      </c>
      <c r="H32" s="1">
        <v>3</v>
      </c>
      <c r="I32" s="1" t="s">
        <v>23</v>
      </c>
      <c r="J32" s="17" t="str">
        <f t="shared" si="3"/>
        <v>control_enzyme_t02_rpt-3</v>
      </c>
      <c r="L32" s="1" t="s">
        <v>26</v>
      </c>
      <c r="M32" s="1" t="s">
        <v>27</v>
      </c>
      <c r="N32" s="1">
        <f t="shared" si="4"/>
        <v>4</v>
      </c>
      <c r="O32" s="1" t="str">
        <f t="shared" si="0"/>
        <v>B:C4</v>
      </c>
    </row>
    <row r="33" spans="3:15" x14ac:dyDescent="0.25">
      <c r="C33" s="7">
        <f t="shared" si="2"/>
        <v>1.0663194444444446</v>
      </c>
      <c r="D33" t="s">
        <v>113</v>
      </c>
      <c r="E33" t="s">
        <v>109</v>
      </c>
      <c r="F33" s="1" t="s">
        <v>118</v>
      </c>
      <c r="G33" s="1" t="s">
        <v>107</v>
      </c>
      <c r="H33" s="1">
        <v>1</v>
      </c>
      <c r="I33" s="1" t="s">
        <v>23</v>
      </c>
      <c r="J33" s="17" t="str">
        <f t="shared" si="3"/>
        <v>control_inactive_t02_rpt-1</v>
      </c>
      <c r="L33" s="1" t="s">
        <v>26</v>
      </c>
      <c r="M33" s="1" t="s">
        <v>28</v>
      </c>
      <c r="N33" s="1">
        <f t="shared" si="4"/>
        <v>4</v>
      </c>
      <c r="O33" s="1" t="str">
        <f t="shared" si="0"/>
        <v>B:D4</v>
      </c>
    </row>
    <row r="34" spans="3:15" x14ac:dyDescent="0.25">
      <c r="C34" s="7">
        <f t="shared" si="2"/>
        <v>1.0805555555555557</v>
      </c>
      <c r="D34" t="s">
        <v>113</v>
      </c>
      <c r="E34" t="s">
        <v>109</v>
      </c>
      <c r="F34" s="1" t="s">
        <v>118</v>
      </c>
      <c r="G34" s="1" t="s">
        <v>107</v>
      </c>
      <c r="H34" s="1">
        <v>2</v>
      </c>
      <c r="I34" s="1" t="s">
        <v>23</v>
      </c>
      <c r="J34" s="17" t="str">
        <f t="shared" si="3"/>
        <v>control_inactive_t02_rpt-2</v>
      </c>
      <c r="L34" s="1" t="s">
        <v>26</v>
      </c>
      <c r="M34" s="1" t="s">
        <v>29</v>
      </c>
      <c r="N34" s="1">
        <f t="shared" si="4"/>
        <v>4</v>
      </c>
      <c r="O34" s="1" t="str">
        <f t="shared" si="0"/>
        <v>B:E4</v>
      </c>
    </row>
    <row r="35" spans="3:15" x14ac:dyDescent="0.25">
      <c r="C35" s="7">
        <f t="shared" si="2"/>
        <v>1.0947916666666668</v>
      </c>
      <c r="D35" t="s">
        <v>113</v>
      </c>
      <c r="E35" t="s">
        <v>109</v>
      </c>
      <c r="F35" s="1" t="s">
        <v>118</v>
      </c>
      <c r="G35" s="1" t="s">
        <v>107</v>
      </c>
      <c r="H35" s="1">
        <v>3</v>
      </c>
      <c r="I35" s="1" t="s">
        <v>23</v>
      </c>
      <c r="J35" s="17" t="str">
        <f t="shared" si="3"/>
        <v>control_inactive_t02_rpt-3</v>
      </c>
      <c r="L35" s="1" t="s">
        <v>26</v>
      </c>
      <c r="M35" s="1" t="s">
        <v>30</v>
      </c>
      <c r="N35" s="1">
        <f t="shared" si="4"/>
        <v>4</v>
      </c>
      <c r="O35" s="1" t="str">
        <f t="shared" si="0"/>
        <v>B:F4</v>
      </c>
    </row>
    <row r="36" spans="3:15" x14ac:dyDescent="0.25">
      <c r="C36" s="7">
        <f t="shared" si="2"/>
        <v>1.1090277777777779</v>
      </c>
      <c r="D36" t="s">
        <v>113</v>
      </c>
      <c r="E36" t="s">
        <v>110</v>
      </c>
      <c r="F36" s="1" t="s">
        <v>118</v>
      </c>
      <c r="G36" s="1" t="s">
        <v>107</v>
      </c>
      <c r="H36" s="1">
        <v>1</v>
      </c>
      <c r="I36" s="1" t="s">
        <v>23</v>
      </c>
      <c r="J36" s="17" t="str">
        <f t="shared" si="3"/>
        <v>control_no-enz_t02_rpt-1</v>
      </c>
      <c r="L36" s="1" t="s">
        <v>26</v>
      </c>
      <c r="M36" s="1" t="s">
        <v>31</v>
      </c>
      <c r="N36" s="1">
        <f t="shared" si="4"/>
        <v>4</v>
      </c>
      <c r="O36" s="1" t="str">
        <f t="shared" si="0"/>
        <v>B:G4</v>
      </c>
    </row>
    <row r="37" spans="3:15" x14ac:dyDescent="0.25">
      <c r="C37" s="7">
        <f t="shared" si="2"/>
        <v>1.1232638888888891</v>
      </c>
      <c r="D37" t="s">
        <v>113</v>
      </c>
      <c r="E37" t="s">
        <v>110</v>
      </c>
      <c r="F37" s="1" t="s">
        <v>118</v>
      </c>
      <c r="G37" s="1" t="s">
        <v>107</v>
      </c>
      <c r="H37" s="1">
        <v>2</v>
      </c>
      <c r="I37" s="1" t="s">
        <v>23</v>
      </c>
      <c r="J37" s="17" t="str">
        <f t="shared" si="3"/>
        <v>control_no-enz_t02_rpt-2</v>
      </c>
      <c r="L37" s="1" t="s">
        <v>26</v>
      </c>
      <c r="M37" s="1" t="s">
        <v>31</v>
      </c>
      <c r="N37" s="1">
        <f t="shared" si="4"/>
        <v>5</v>
      </c>
      <c r="O37" s="1" t="str">
        <f t="shared" si="0"/>
        <v>B:G5</v>
      </c>
    </row>
    <row r="38" spans="3:15" x14ac:dyDescent="0.25">
      <c r="C38" s="7">
        <f t="shared" si="2"/>
        <v>1.1375000000000002</v>
      </c>
      <c r="D38" t="s">
        <v>113</v>
      </c>
      <c r="E38" t="s">
        <v>110</v>
      </c>
      <c r="F38" s="1" t="s">
        <v>118</v>
      </c>
      <c r="G38" s="1" t="s">
        <v>107</v>
      </c>
      <c r="H38" s="1">
        <v>3</v>
      </c>
      <c r="I38" s="1" t="s">
        <v>23</v>
      </c>
      <c r="J38" s="17" t="str">
        <f t="shared" si="3"/>
        <v>control_no-enz_t02_rpt-3</v>
      </c>
      <c r="L38" s="1" t="s">
        <v>26</v>
      </c>
      <c r="M38" s="1" t="s">
        <v>31</v>
      </c>
      <c r="N38" s="1">
        <f t="shared" si="4"/>
        <v>6</v>
      </c>
      <c r="O38" s="1" t="str">
        <f t="shared" si="0"/>
        <v>B:G6</v>
      </c>
    </row>
    <row r="39" spans="3:15" x14ac:dyDescent="0.25">
      <c r="C39" s="7">
        <f t="shared" si="2"/>
        <v>1.1517361111111113</v>
      </c>
      <c r="D39" t="s">
        <v>113</v>
      </c>
      <c r="E39" t="s">
        <v>111</v>
      </c>
      <c r="F39" s="1" t="s">
        <v>118</v>
      </c>
      <c r="G39" s="1" t="s">
        <v>107</v>
      </c>
      <c r="H39" s="1">
        <v>1</v>
      </c>
      <c r="I39" s="1" t="s">
        <v>23</v>
      </c>
      <c r="J39" s="17" t="str">
        <f t="shared" si="3"/>
        <v>control_co-factor_t02_rpt-1</v>
      </c>
      <c r="L39" s="1" t="s">
        <v>26</v>
      </c>
      <c r="M39" s="1" t="s">
        <v>74</v>
      </c>
      <c r="N39" s="1">
        <f t="shared" si="4"/>
        <v>4</v>
      </c>
      <c r="O39" s="1" t="str">
        <f t="shared" si="0"/>
        <v>B:H4</v>
      </c>
    </row>
    <row r="40" spans="3:15" x14ac:dyDescent="0.25">
      <c r="C40" s="7">
        <f t="shared" si="2"/>
        <v>1.1659722222222224</v>
      </c>
      <c r="D40" t="s">
        <v>113</v>
      </c>
      <c r="E40" t="s">
        <v>111</v>
      </c>
      <c r="F40" s="1" t="s">
        <v>118</v>
      </c>
      <c r="G40" s="1" t="s">
        <v>107</v>
      </c>
      <c r="H40" s="1">
        <v>2</v>
      </c>
      <c r="I40" s="1" t="s">
        <v>23</v>
      </c>
      <c r="J40" s="17" t="str">
        <f t="shared" si="3"/>
        <v>control_co-factor_t02_rpt-2</v>
      </c>
      <c r="L40" s="1" t="s">
        <v>26</v>
      </c>
      <c r="M40" s="1" t="s">
        <v>74</v>
      </c>
      <c r="N40" s="1">
        <f t="shared" si="4"/>
        <v>5</v>
      </c>
      <c r="O40" s="1" t="str">
        <f t="shared" si="0"/>
        <v>B:H5</v>
      </c>
    </row>
    <row r="41" spans="3:15" x14ac:dyDescent="0.25">
      <c r="C41" s="7">
        <f t="shared" si="2"/>
        <v>1.1802083333333335</v>
      </c>
      <c r="D41" t="s">
        <v>113</v>
      </c>
      <c r="E41" t="s">
        <v>111</v>
      </c>
      <c r="F41" s="1" t="s">
        <v>118</v>
      </c>
      <c r="G41" s="1" t="s">
        <v>107</v>
      </c>
      <c r="H41" s="1">
        <v>3</v>
      </c>
      <c r="I41" s="1" t="s">
        <v>23</v>
      </c>
      <c r="J41" s="17" t="str">
        <f t="shared" si="3"/>
        <v>control_co-factor_t02_rpt-3</v>
      </c>
      <c r="L41" s="1" t="s">
        <v>26</v>
      </c>
      <c r="M41" s="1" t="s">
        <v>74</v>
      </c>
      <c r="N41" s="1">
        <f t="shared" si="4"/>
        <v>6</v>
      </c>
      <c r="O41" s="1" t="str">
        <f t="shared" si="0"/>
        <v>B:H6</v>
      </c>
    </row>
    <row r="42" spans="3:15" x14ac:dyDescent="0.25">
      <c r="C42" s="7">
        <f t="shared" si="2"/>
        <v>1.1944444444444446</v>
      </c>
      <c r="D42" t="s">
        <v>112</v>
      </c>
      <c r="E42" t="s">
        <v>114</v>
      </c>
      <c r="F42" s="1" t="s">
        <v>118</v>
      </c>
      <c r="G42" s="1" t="s">
        <v>107</v>
      </c>
      <c r="H42" s="1">
        <v>1</v>
      </c>
      <c r="I42" s="1" t="s">
        <v>23</v>
      </c>
      <c r="J42" s="17" t="str">
        <f t="shared" si="3"/>
        <v>CuATSM_10uM_t02_rpt-1</v>
      </c>
      <c r="L42" s="1" t="s">
        <v>26</v>
      </c>
      <c r="M42" s="1" t="s">
        <v>24</v>
      </c>
      <c r="N42" s="1">
        <f t="shared" si="4"/>
        <v>5</v>
      </c>
      <c r="O42" s="1" t="str">
        <f t="shared" si="0"/>
        <v>B:A5</v>
      </c>
    </row>
    <row r="43" spans="3:15" x14ac:dyDescent="0.25">
      <c r="C43" s="7">
        <f t="shared" si="2"/>
        <v>1.2086805555555558</v>
      </c>
      <c r="D43" t="s">
        <v>112</v>
      </c>
      <c r="E43" t="s">
        <v>114</v>
      </c>
      <c r="F43" s="1" t="s">
        <v>118</v>
      </c>
      <c r="G43" s="1" t="s">
        <v>107</v>
      </c>
      <c r="H43" s="1">
        <v>2</v>
      </c>
      <c r="I43" s="1" t="s">
        <v>23</v>
      </c>
      <c r="J43" s="17" t="str">
        <f t="shared" si="3"/>
        <v>CuATSM_10uM_t02_rpt-2</v>
      </c>
      <c r="L43" s="1" t="s">
        <v>26</v>
      </c>
      <c r="M43" s="1" t="s">
        <v>26</v>
      </c>
      <c r="N43" s="1">
        <f t="shared" si="4"/>
        <v>5</v>
      </c>
      <c r="O43" s="1" t="str">
        <f t="shared" si="0"/>
        <v>B:B5</v>
      </c>
    </row>
    <row r="44" spans="3:15" x14ac:dyDescent="0.25">
      <c r="C44" s="7">
        <f t="shared" si="2"/>
        <v>1.2229166666666669</v>
      </c>
      <c r="D44" t="s">
        <v>112</v>
      </c>
      <c r="E44" t="s">
        <v>114</v>
      </c>
      <c r="F44" s="1" t="s">
        <v>118</v>
      </c>
      <c r="G44" s="1" t="s">
        <v>107</v>
      </c>
      <c r="H44" s="1">
        <v>3</v>
      </c>
      <c r="I44" s="1" t="s">
        <v>23</v>
      </c>
      <c r="J44" s="17" t="str">
        <f t="shared" si="3"/>
        <v>CuATSM_10uM_t02_rpt-3</v>
      </c>
      <c r="L44" s="1" t="s">
        <v>26</v>
      </c>
      <c r="M44" s="1" t="s">
        <v>27</v>
      </c>
      <c r="N44" s="1">
        <f t="shared" si="4"/>
        <v>5</v>
      </c>
      <c r="O44" s="1" t="str">
        <f t="shared" si="0"/>
        <v>B:C5</v>
      </c>
    </row>
    <row r="45" spans="3:15" x14ac:dyDescent="0.25">
      <c r="C45" s="7">
        <f t="shared" si="2"/>
        <v>1.237152777777778</v>
      </c>
      <c r="D45" t="s">
        <v>112</v>
      </c>
      <c r="E45" t="s">
        <v>116</v>
      </c>
      <c r="F45" s="1" t="s">
        <v>118</v>
      </c>
      <c r="G45" s="1" t="s">
        <v>107</v>
      </c>
      <c r="H45" s="1">
        <v>1</v>
      </c>
      <c r="I45" s="1" t="s">
        <v>23</v>
      </c>
      <c r="J45" s="17" t="str">
        <f t="shared" si="3"/>
        <v>CuATSM_1uM_t02_rpt-1</v>
      </c>
      <c r="L45" s="1" t="s">
        <v>26</v>
      </c>
      <c r="M45" s="1" t="s">
        <v>28</v>
      </c>
      <c r="N45" s="1">
        <f t="shared" si="4"/>
        <v>5</v>
      </c>
      <c r="O45" s="1" t="str">
        <f t="shared" si="0"/>
        <v>B:D5</v>
      </c>
    </row>
    <row r="46" spans="3:15" x14ac:dyDescent="0.25">
      <c r="C46" s="7">
        <f t="shared" si="2"/>
        <v>1.2513888888888891</v>
      </c>
      <c r="D46" t="s">
        <v>112</v>
      </c>
      <c r="E46" t="s">
        <v>116</v>
      </c>
      <c r="F46" s="1" t="s">
        <v>118</v>
      </c>
      <c r="G46" s="1" t="s">
        <v>107</v>
      </c>
      <c r="H46" s="1">
        <v>2</v>
      </c>
      <c r="I46" s="1" t="s">
        <v>23</v>
      </c>
      <c r="J46" s="17" t="str">
        <f t="shared" si="3"/>
        <v>CuATSM_1uM_t02_rpt-2</v>
      </c>
      <c r="L46" s="1" t="s">
        <v>26</v>
      </c>
      <c r="M46" s="16" t="s">
        <v>29</v>
      </c>
      <c r="N46" s="1">
        <f t="shared" si="4"/>
        <v>5</v>
      </c>
      <c r="O46" s="1" t="str">
        <f t="shared" si="0"/>
        <v>B:E5</v>
      </c>
    </row>
    <row r="47" spans="3:15" x14ac:dyDescent="0.25">
      <c r="C47" s="7">
        <f t="shared" si="2"/>
        <v>1.2656250000000002</v>
      </c>
      <c r="D47" t="s">
        <v>112</v>
      </c>
      <c r="E47" t="s">
        <v>116</v>
      </c>
      <c r="F47" s="1" t="s">
        <v>118</v>
      </c>
      <c r="G47" s="1" t="s">
        <v>107</v>
      </c>
      <c r="H47" s="1">
        <v>3</v>
      </c>
      <c r="I47" s="1" t="s">
        <v>23</v>
      </c>
      <c r="J47" s="17" t="str">
        <f t="shared" si="3"/>
        <v>CuATSM_1uM_t02_rpt-3</v>
      </c>
      <c r="L47" s="1" t="s">
        <v>26</v>
      </c>
      <c r="M47" s="1" t="s">
        <v>30</v>
      </c>
      <c r="N47" s="1">
        <f t="shared" si="4"/>
        <v>5</v>
      </c>
      <c r="O47" s="1" t="str">
        <f t="shared" si="0"/>
        <v>B:F5</v>
      </c>
    </row>
    <row r="48" spans="3:15" x14ac:dyDescent="0.25">
      <c r="C48" s="7">
        <f t="shared" si="2"/>
        <v>1.2798611111111113</v>
      </c>
      <c r="D48" t="s">
        <v>115</v>
      </c>
      <c r="E48" t="s">
        <v>114</v>
      </c>
      <c r="F48" s="1" t="s">
        <v>118</v>
      </c>
      <c r="G48" s="1" t="s">
        <v>107</v>
      </c>
      <c r="H48" s="1">
        <v>1</v>
      </c>
      <c r="I48" s="1" t="s">
        <v>23</v>
      </c>
      <c r="J48" s="17" t="str">
        <f t="shared" si="3"/>
        <v>CuATSM-d6_10uM_t02_rpt-1</v>
      </c>
      <c r="L48" s="1" t="s">
        <v>26</v>
      </c>
      <c r="M48" s="1" t="s">
        <v>24</v>
      </c>
      <c r="N48" s="1">
        <f t="shared" si="4"/>
        <v>6</v>
      </c>
      <c r="O48" s="1" t="str">
        <f t="shared" si="0"/>
        <v>B:A6</v>
      </c>
    </row>
    <row r="49" spans="3:15" x14ac:dyDescent="0.25">
      <c r="C49" s="7">
        <f t="shared" si="2"/>
        <v>1.2940972222222225</v>
      </c>
      <c r="D49" t="s">
        <v>115</v>
      </c>
      <c r="E49" t="s">
        <v>114</v>
      </c>
      <c r="F49" s="1" t="s">
        <v>118</v>
      </c>
      <c r="G49" s="1" t="s">
        <v>107</v>
      </c>
      <c r="H49" s="1">
        <v>2</v>
      </c>
      <c r="I49" s="1" t="s">
        <v>23</v>
      </c>
      <c r="J49" s="17" t="str">
        <f t="shared" si="3"/>
        <v>CuATSM-d6_10uM_t02_rpt-2</v>
      </c>
      <c r="L49" s="1" t="s">
        <v>26</v>
      </c>
      <c r="M49" s="1" t="s">
        <v>26</v>
      </c>
      <c r="N49" s="1">
        <f t="shared" si="4"/>
        <v>6</v>
      </c>
      <c r="O49" s="1" t="str">
        <f t="shared" si="0"/>
        <v>B:B6</v>
      </c>
    </row>
    <row r="50" spans="3:15" x14ac:dyDescent="0.25">
      <c r="C50" s="7">
        <f t="shared" si="2"/>
        <v>1.3083333333333336</v>
      </c>
      <c r="D50" t="s">
        <v>115</v>
      </c>
      <c r="E50" t="s">
        <v>114</v>
      </c>
      <c r="F50" s="1" t="s">
        <v>118</v>
      </c>
      <c r="G50" s="1" t="s">
        <v>107</v>
      </c>
      <c r="H50" s="1">
        <v>3</v>
      </c>
      <c r="I50" s="1" t="s">
        <v>23</v>
      </c>
      <c r="J50" s="17" t="str">
        <f t="shared" si="3"/>
        <v>CuATSM-d6_10uM_t02_rpt-3</v>
      </c>
      <c r="L50" s="1" t="s">
        <v>26</v>
      </c>
      <c r="M50" s="1" t="s">
        <v>27</v>
      </c>
      <c r="N50" s="1">
        <f t="shared" si="4"/>
        <v>6</v>
      </c>
      <c r="O50" s="1" t="str">
        <f t="shared" si="0"/>
        <v>B:C6</v>
      </c>
    </row>
    <row r="51" spans="3:15" x14ac:dyDescent="0.25">
      <c r="C51" s="7">
        <f t="shared" si="2"/>
        <v>1.3225694444444447</v>
      </c>
      <c r="D51" t="s">
        <v>115</v>
      </c>
      <c r="E51" t="s">
        <v>116</v>
      </c>
      <c r="F51" s="1" t="s">
        <v>118</v>
      </c>
      <c r="G51" s="1" t="s">
        <v>107</v>
      </c>
      <c r="H51" s="1">
        <v>1</v>
      </c>
      <c r="I51" s="1" t="s">
        <v>23</v>
      </c>
      <c r="J51" s="17" t="str">
        <f t="shared" si="3"/>
        <v>CuATSM-d6_1uM_t02_rpt-1</v>
      </c>
      <c r="L51" s="1" t="s">
        <v>26</v>
      </c>
      <c r="M51" s="1" t="s">
        <v>28</v>
      </c>
      <c r="N51" s="1">
        <f t="shared" si="4"/>
        <v>6</v>
      </c>
      <c r="O51" s="1" t="str">
        <f t="shared" si="0"/>
        <v>B:D6</v>
      </c>
    </row>
    <row r="52" spans="3:15" x14ac:dyDescent="0.25">
      <c r="C52" s="7">
        <f t="shared" si="2"/>
        <v>1.3368055555555558</v>
      </c>
      <c r="D52" t="s">
        <v>115</v>
      </c>
      <c r="E52" t="s">
        <v>116</v>
      </c>
      <c r="F52" s="1" t="s">
        <v>118</v>
      </c>
      <c r="G52" s="1" t="s">
        <v>107</v>
      </c>
      <c r="H52" s="1">
        <v>2</v>
      </c>
      <c r="I52" s="1" t="s">
        <v>23</v>
      </c>
      <c r="J52" s="17" t="str">
        <f t="shared" si="3"/>
        <v>CuATSM-d6_1uM_t02_rpt-2</v>
      </c>
      <c r="L52" s="1" t="s">
        <v>26</v>
      </c>
      <c r="M52" s="1" t="s">
        <v>29</v>
      </c>
      <c r="N52" s="1">
        <f t="shared" si="4"/>
        <v>6</v>
      </c>
      <c r="O52" s="1" t="str">
        <f t="shared" si="0"/>
        <v>B:E6</v>
      </c>
    </row>
    <row r="53" spans="3:15" x14ac:dyDescent="0.25">
      <c r="C53" s="7">
        <f t="shared" si="2"/>
        <v>1.3510416666666669</v>
      </c>
      <c r="D53" t="s">
        <v>115</v>
      </c>
      <c r="E53" t="s">
        <v>116</v>
      </c>
      <c r="F53" s="1" t="s">
        <v>118</v>
      </c>
      <c r="G53" s="1" t="s">
        <v>107</v>
      </c>
      <c r="H53" s="1">
        <v>3</v>
      </c>
      <c r="I53" s="1" t="s">
        <v>23</v>
      </c>
      <c r="J53" s="17" t="str">
        <f t="shared" si="3"/>
        <v>CuATSM-d6_1uM_t02_rpt-3</v>
      </c>
      <c r="L53" s="1" t="s">
        <v>26</v>
      </c>
      <c r="M53" s="1" t="s">
        <v>30</v>
      </c>
      <c r="N53" s="1">
        <f t="shared" si="4"/>
        <v>6</v>
      </c>
      <c r="O53" s="1" t="str">
        <f t="shared" si="0"/>
        <v>B:F6</v>
      </c>
    </row>
    <row r="54" spans="3:15" x14ac:dyDescent="0.25">
      <c r="C54" s="7">
        <f t="shared" si="2"/>
        <v>1.365277777777778</v>
      </c>
      <c r="D54" s="12" t="s">
        <v>105</v>
      </c>
      <c r="E54" s="14" t="s">
        <v>35</v>
      </c>
      <c r="F54" s="18" t="s">
        <v>36</v>
      </c>
      <c r="G54" s="18" t="s">
        <v>107</v>
      </c>
      <c r="H54" s="18">
        <v>3</v>
      </c>
      <c r="I54" s="18" t="s">
        <v>22</v>
      </c>
      <c r="J54" s="19" t="str">
        <f t="shared" ref="J54:J119" si="5">CONCATENATE(D54,"_",E54,"_",F54,"_",G54,"-",H54)</f>
        <v>solvent_blank_water_rpt-3</v>
      </c>
      <c r="K54" s="20"/>
      <c r="L54" s="18" t="s">
        <v>31</v>
      </c>
      <c r="M54" s="18" t="s">
        <v>24</v>
      </c>
      <c r="N54" s="18">
        <v>9</v>
      </c>
      <c r="O54" s="18" t="str">
        <f t="shared" si="0"/>
        <v>G:A9</v>
      </c>
    </row>
    <row r="55" spans="3:15" x14ac:dyDescent="0.25">
      <c r="C55" s="7">
        <f t="shared" si="2"/>
        <v>1.3795138888888892</v>
      </c>
      <c r="D55" t="s">
        <v>113</v>
      </c>
      <c r="E55" t="s">
        <v>106</v>
      </c>
      <c r="F55" s="1" t="s">
        <v>119</v>
      </c>
      <c r="G55" s="1" t="s">
        <v>107</v>
      </c>
      <c r="H55" s="1">
        <v>1</v>
      </c>
      <c r="I55" s="1" t="s">
        <v>23</v>
      </c>
      <c r="J55" s="17" t="str">
        <f t="shared" si="5"/>
        <v>control_enzyme_t04_rpt-1</v>
      </c>
      <c r="L55" s="1" t="s">
        <v>26</v>
      </c>
      <c r="M55" s="1" t="s">
        <v>24</v>
      </c>
      <c r="N55" s="1">
        <f t="shared" ref="N55:N78" si="6">N30+3</f>
        <v>7</v>
      </c>
      <c r="O55" s="1" t="str">
        <f t="shared" si="0"/>
        <v>B:A7</v>
      </c>
    </row>
    <row r="56" spans="3:15" x14ac:dyDescent="0.25">
      <c r="C56" s="7">
        <f t="shared" si="2"/>
        <v>1.3937500000000003</v>
      </c>
      <c r="D56" t="s">
        <v>113</v>
      </c>
      <c r="E56" t="s">
        <v>106</v>
      </c>
      <c r="F56" s="1" t="s">
        <v>119</v>
      </c>
      <c r="G56" s="1" t="s">
        <v>107</v>
      </c>
      <c r="H56" s="1">
        <v>2</v>
      </c>
      <c r="I56" s="1" t="s">
        <v>23</v>
      </c>
      <c r="J56" s="17" t="str">
        <f t="shared" si="5"/>
        <v>control_enzyme_t04_rpt-2</v>
      </c>
      <c r="L56" s="1" t="s">
        <v>26</v>
      </c>
      <c r="M56" s="1" t="s">
        <v>26</v>
      </c>
      <c r="N56" s="1">
        <f t="shared" si="6"/>
        <v>7</v>
      </c>
      <c r="O56" s="1" t="str">
        <f t="shared" si="0"/>
        <v>B:B7</v>
      </c>
    </row>
    <row r="57" spans="3:15" x14ac:dyDescent="0.25">
      <c r="C57" s="7">
        <f t="shared" si="2"/>
        <v>1.4079861111111114</v>
      </c>
      <c r="D57" t="s">
        <v>113</v>
      </c>
      <c r="E57" t="s">
        <v>106</v>
      </c>
      <c r="F57" s="1" t="s">
        <v>119</v>
      </c>
      <c r="G57" s="1" t="s">
        <v>107</v>
      </c>
      <c r="H57" s="1">
        <v>3</v>
      </c>
      <c r="I57" s="1" t="s">
        <v>23</v>
      </c>
      <c r="J57" s="17" t="str">
        <f t="shared" si="5"/>
        <v>control_enzyme_t04_rpt-3</v>
      </c>
      <c r="L57" s="1" t="s">
        <v>26</v>
      </c>
      <c r="M57" s="1" t="s">
        <v>27</v>
      </c>
      <c r="N57" s="1">
        <f t="shared" si="6"/>
        <v>7</v>
      </c>
      <c r="O57" s="1" t="str">
        <f t="shared" si="0"/>
        <v>B:C7</v>
      </c>
    </row>
    <row r="58" spans="3:15" x14ac:dyDescent="0.25">
      <c r="C58" s="7">
        <f t="shared" si="2"/>
        <v>1.4222222222222225</v>
      </c>
      <c r="D58" t="s">
        <v>113</v>
      </c>
      <c r="E58" t="s">
        <v>109</v>
      </c>
      <c r="F58" s="1" t="s">
        <v>119</v>
      </c>
      <c r="G58" s="1" t="s">
        <v>107</v>
      </c>
      <c r="H58" s="1">
        <v>1</v>
      </c>
      <c r="I58" s="1" t="s">
        <v>23</v>
      </c>
      <c r="J58" s="17" t="str">
        <f t="shared" si="5"/>
        <v>control_inactive_t04_rpt-1</v>
      </c>
      <c r="L58" s="1" t="s">
        <v>26</v>
      </c>
      <c r="M58" s="1" t="s">
        <v>28</v>
      </c>
      <c r="N58" s="1">
        <f t="shared" si="6"/>
        <v>7</v>
      </c>
      <c r="O58" s="1" t="str">
        <f t="shared" si="0"/>
        <v>B:D7</v>
      </c>
    </row>
    <row r="59" spans="3:15" x14ac:dyDescent="0.25">
      <c r="C59" s="7">
        <f t="shared" si="2"/>
        <v>1.4364583333333336</v>
      </c>
      <c r="D59" t="s">
        <v>113</v>
      </c>
      <c r="E59" t="s">
        <v>109</v>
      </c>
      <c r="F59" s="1" t="s">
        <v>119</v>
      </c>
      <c r="G59" s="1" t="s">
        <v>107</v>
      </c>
      <c r="H59" s="1">
        <v>2</v>
      </c>
      <c r="I59" s="1" t="s">
        <v>23</v>
      </c>
      <c r="J59" s="17" t="str">
        <f t="shared" si="5"/>
        <v>control_inactive_t04_rpt-2</v>
      </c>
      <c r="L59" s="1" t="s">
        <v>26</v>
      </c>
      <c r="M59" s="1" t="s">
        <v>29</v>
      </c>
      <c r="N59" s="1">
        <f t="shared" si="6"/>
        <v>7</v>
      </c>
      <c r="O59" s="1" t="str">
        <f t="shared" si="0"/>
        <v>B:E7</v>
      </c>
    </row>
    <row r="60" spans="3:15" x14ac:dyDescent="0.25">
      <c r="C60" s="7">
        <f t="shared" si="2"/>
        <v>1.4506944444444447</v>
      </c>
      <c r="D60" t="s">
        <v>113</v>
      </c>
      <c r="E60" t="s">
        <v>109</v>
      </c>
      <c r="F60" s="1" t="s">
        <v>119</v>
      </c>
      <c r="G60" s="1" t="s">
        <v>107</v>
      </c>
      <c r="H60" s="1">
        <v>3</v>
      </c>
      <c r="I60" s="1" t="s">
        <v>23</v>
      </c>
      <c r="J60" s="17" t="str">
        <f t="shared" si="5"/>
        <v>control_inactive_t04_rpt-3</v>
      </c>
      <c r="L60" s="1" t="s">
        <v>26</v>
      </c>
      <c r="M60" s="1" t="s">
        <v>30</v>
      </c>
      <c r="N60" s="1">
        <f t="shared" si="6"/>
        <v>7</v>
      </c>
      <c r="O60" s="1" t="str">
        <f t="shared" si="0"/>
        <v>B:F7</v>
      </c>
    </row>
    <row r="61" spans="3:15" x14ac:dyDescent="0.25">
      <c r="C61" s="7">
        <f t="shared" si="2"/>
        <v>1.4649305555555558</v>
      </c>
      <c r="D61" t="s">
        <v>113</v>
      </c>
      <c r="E61" t="s">
        <v>110</v>
      </c>
      <c r="F61" s="1" t="s">
        <v>119</v>
      </c>
      <c r="G61" s="1" t="s">
        <v>107</v>
      </c>
      <c r="H61" s="1">
        <v>1</v>
      </c>
      <c r="I61" s="1" t="s">
        <v>23</v>
      </c>
      <c r="J61" s="17" t="str">
        <f t="shared" si="5"/>
        <v>control_no-enz_t04_rpt-1</v>
      </c>
      <c r="L61" s="1" t="s">
        <v>26</v>
      </c>
      <c r="M61" s="1" t="s">
        <v>31</v>
      </c>
      <c r="N61" s="1">
        <f t="shared" si="6"/>
        <v>7</v>
      </c>
      <c r="O61" s="1" t="str">
        <f t="shared" si="0"/>
        <v>B:G7</v>
      </c>
    </row>
    <row r="62" spans="3:15" x14ac:dyDescent="0.25">
      <c r="C62" s="7">
        <f t="shared" si="2"/>
        <v>1.479166666666667</v>
      </c>
      <c r="D62" t="s">
        <v>113</v>
      </c>
      <c r="E62" t="s">
        <v>110</v>
      </c>
      <c r="F62" s="1" t="s">
        <v>119</v>
      </c>
      <c r="G62" s="1" t="s">
        <v>107</v>
      </c>
      <c r="H62" s="1">
        <v>2</v>
      </c>
      <c r="I62" s="1" t="s">
        <v>23</v>
      </c>
      <c r="J62" s="17" t="str">
        <f t="shared" si="5"/>
        <v>control_no-enz_t04_rpt-2</v>
      </c>
      <c r="L62" s="1" t="s">
        <v>26</v>
      </c>
      <c r="M62" s="1" t="s">
        <v>31</v>
      </c>
      <c r="N62" s="1">
        <f t="shared" si="6"/>
        <v>8</v>
      </c>
      <c r="O62" s="1" t="str">
        <f t="shared" si="0"/>
        <v>B:G8</v>
      </c>
    </row>
    <row r="63" spans="3:15" x14ac:dyDescent="0.25">
      <c r="C63" s="7">
        <f t="shared" si="2"/>
        <v>1.4934027777777781</v>
      </c>
      <c r="D63" t="s">
        <v>113</v>
      </c>
      <c r="E63" t="s">
        <v>110</v>
      </c>
      <c r="F63" s="1" t="s">
        <v>119</v>
      </c>
      <c r="G63" s="1" t="s">
        <v>107</v>
      </c>
      <c r="H63" s="1">
        <v>3</v>
      </c>
      <c r="I63" s="1" t="s">
        <v>23</v>
      </c>
      <c r="J63" s="17" t="str">
        <f t="shared" si="5"/>
        <v>control_no-enz_t04_rpt-3</v>
      </c>
      <c r="L63" s="1" t="s">
        <v>26</v>
      </c>
      <c r="M63" s="1" t="s">
        <v>31</v>
      </c>
      <c r="N63" s="1">
        <f t="shared" si="6"/>
        <v>9</v>
      </c>
      <c r="O63" s="1" t="str">
        <f t="shared" si="0"/>
        <v>B:G9</v>
      </c>
    </row>
    <row r="64" spans="3:15" x14ac:dyDescent="0.25">
      <c r="C64" s="7">
        <f t="shared" si="2"/>
        <v>1.5076388888888892</v>
      </c>
      <c r="D64" t="s">
        <v>113</v>
      </c>
      <c r="E64" t="s">
        <v>111</v>
      </c>
      <c r="F64" s="1" t="s">
        <v>119</v>
      </c>
      <c r="G64" s="1" t="s">
        <v>107</v>
      </c>
      <c r="H64" s="1">
        <v>1</v>
      </c>
      <c r="I64" s="1" t="s">
        <v>23</v>
      </c>
      <c r="J64" s="17" t="str">
        <f t="shared" si="5"/>
        <v>control_co-factor_t04_rpt-1</v>
      </c>
      <c r="L64" s="1" t="s">
        <v>26</v>
      </c>
      <c r="M64" s="1" t="s">
        <v>74</v>
      </c>
      <c r="N64" s="1">
        <f t="shared" si="6"/>
        <v>7</v>
      </c>
      <c r="O64" s="1" t="str">
        <f t="shared" si="0"/>
        <v>B:H7</v>
      </c>
    </row>
    <row r="65" spans="3:15" x14ac:dyDescent="0.25">
      <c r="C65" s="7">
        <f t="shared" si="2"/>
        <v>1.5218750000000003</v>
      </c>
      <c r="D65" t="s">
        <v>113</v>
      </c>
      <c r="E65" t="s">
        <v>111</v>
      </c>
      <c r="F65" s="1" t="s">
        <v>119</v>
      </c>
      <c r="G65" s="1" t="s">
        <v>107</v>
      </c>
      <c r="H65" s="1">
        <v>2</v>
      </c>
      <c r="I65" s="1" t="s">
        <v>23</v>
      </c>
      <c r="J65" s="17" t="str">
        <f t="shared" si="5"/>
        <v>control_co-factor_t04_rpt-2</v>
      </c>
      <c r="L65" s="1" t="s">
        <v>26</v>
      </c>
      <c r="M65" s="1" t="s">
        <v>74</v>
      </c>
      <c r="N65" s="1">
        <f t="shared" si="6"/>
        <v>8</v>
      </c>
      <c r="O65" s="1" t="str">
        <f t="shared" si="0"/>
        <v>B:H8</v>
      </c>
    </row>
    <row r="66" spans="3:15" x14ac:dyDescent="0.25">
      <c r="C66" s="7">
        <f t="shared" si="2"/>
        <v>1.5361111111111114</v>
      </c>
      <c r="D66" t="s">
        <v>113</v>
      </c>
      <c r="E66" t="s">
        <v>111</v>
      </c>
      <c r="F66" s="1" t="s">
        <v>119</v>
      </c>
      <c r="G66" s="1" t="s">
        <v>107</v>
      </c>
      <c r="H66" s="1">
        <v>3</v>
      </c>
      <c r="I66" s="1" t="s">
        <v>23</v>
      </c>
      <c r="J66" s="17" t="str">
        <f t="shared" si="5"/>
        <v>control_co-factor_t04_rpt-3</v>
      </c>
      <c r="L66" s="1" t="s">
        <v>26</v>
      </c>
      <c r="M66" s="1" t="s">
        <v>74</v>
      </c>
      <c r="N66" s="1">
        <f t="shared" si="6"/>
        <v>9</v>
      </c>
      <c r="O66" s="1" t="str">
        <f t="shared" ref="O66:O105" si="7">CONCATENATE(L66,":",M66,N66)</f>
        <v>B:H9</v>
      </c>
    </row>
    <row r="67" spans="3:15" x14ac:dyDescent="0.25">
      <c r="C67" s="7">
        <f t="shared" si="2"/>
        <v>1.5503472222222225</v>
      </c>
      <c r="D67" t="s">
        <v>112</v>
      </c>
      <c r="E67" t="s">
        <v>114</v>
      </c>
      <c r="F67" s="1" t="s">
        <v>119</v>
      </c>
      <c r="G67" s="1" t="s">
        <v>107</v>
      </c>
      <c r="H67" s="1">
        <v>1</v>
      </c>
      <c r="I67" s="1" t="s">
        <v>23</v>
      </c>
      <c r="J67" s="17" t="str">
        <f t="shared" si="5"/>
        <v>CuATSM_10uM_t04_rpt-1</v>
      </c>
      <c r="L67" s="1" t="s">
        <v>26</v>
      </c>
      <c r="M67" s="1" t="s">
        <v>24</v>
      </c>
      <c r="N67" s="1">
        <f t="shared" si="6"/>
        <v>8</v>
      </c>
      <c r="O67" s="1" t="str">
        <f t="shared" si="7"/>
        <v>B:A8</v>
      </c>
    </row>
    <row r="68" spans="3:15" x14ac:dyDescent="0.25">
      <c r="C68" s="7">
        <f t="shared" ref="C68:C133" si="8">C67+($A$6/1440)</f>
        <v>1.5645833333333337</v>
      </c>
      <c r="D68" t="s">
        <v>112</v>
      </c>
      <c r="E68" t="s">
        <v>114</v>
      </c>
      <c r="F68" s="1" t="s">
        <v>119</v>
      </c>
      <c r="G68" s="1" t="s">
        <v>107</v>
      </c>
      <c r="H68" s="1">
        <v>2</v>
      </c>
      <c r="I68" s="1" t="s">
        <v>23</v>
      </c>
      <c r="J68" s="17" t="str">
        <f t="shared" si="5"/>
        <v>CuATSM_10uM_t04_rpt-2</v>
      </c>
      <c r="L68" s="1" t="s">
        <v>26</v>
      </c>
      <c r="M68" s="1" t="s">
        <v>26</v>
      </c>
      <c r="N68" s="1">
        <f t="shared" si="6"/>
        <v>8</v>
      </c>
      <c r="O68" s="1" t="str">
        <f t="shared" si="7"/>
        <v>B:B8</v>
      </c>
    </row>
    <row r="69" spans="3:15" x14ac:dyDescent="0.25">
      <c r="C69" s="7">
        <f t="shared" si="8"/>
        <v>1.5788194444444448</v>
      </c>
      <c r="D69" t="s">
        <v>112</v>
      </c>
      <c r="E69" t="s">
        <v>114</v>
      </c>
      <c r="F69" s="1" t="s">
        <v>119</v>
      </c>
      <c r="G69" s="1" t="s">
        <v>107</v>
      </c>
      <c r="H69" s="1">
        <v>3</v>
      </c>
      <c r="I69" s="1" t="s">
        <v>23</v>
      </c>
      <c r="J69" s="17" t="str">
        <f t="shared" si="5"/>
        <v>CuATSM_10uM_t04_rpt-3</v>
      </c>
      <c r="L69" s="1" t="s">
        <v>26</v>
      </c>
      <c r="M69" s="1" t="s">
        <v>27</v>
      </c>
      <c r="N69" s="1">
        <f t="shared" si="6"/>
        <v>8</v>
      </c>
      <c r="O69" s="1" t="str">
        <f t="shared" si="7"/>
        <v>B:C8</v>
      </c>
    </row>
    <row r="70" spans="3:15" x14ac:dyDescent="0.25">
      <c r="C70" s="7">
        <f t="shared" si="8"/>
        <v>1.5930555555555559</v>
      </c>
      <c r="D70" t="s">
        <v>112</v>
      </c>
      <c r="E70" t="s">
        <v>116</v>
      </c>
      <c r="F70" s="1" t="s">
        <v>119</v>
      </c>
      <c r="G70" s="1" t="s">
        <v>107</v>
      </c>
      <c r="H70" s="1">
        <v>1</v>
      </c>
      <c r="I70" s="1" t="s">
        <v>23</v>
      </c>
      <c r="J70" s="17" t="str">
        <f t="shared" si="5"/>
        <v>CuATSM_1uM_t04_rpt-1</v>
      </c>
      <c r="L70" s="1" t="s">
        <v>26</v>
      </c>
      <c r="M70" s="1" t="s">
        <v>28</v>
      </c>
      <c r="N70" s="1">
        <f t="shared" si="6"/>
        <v>8</v>
      </c>
      <c r="O70" s="1" t="str">
        <f t="shared" si="7"/>
        <v>B:D8</v>
      </c>
    </row>
    <row r="71" spans="3:15" x14ac:dyDescent="0.25">
      <c r="C71" s="7">
        <f t="shared" si="8"/>
        <v>1.607291666666667</v>
      </c>
      <c r="D71" t="s">
        <v>112</v>
      </c>
      <c r="E71" t="s">
        <v>116</v>
      </c>
      <c r="F71" s="1" t="s">
        <v>119</v>
      </c>
      <c r="G71" s="1" t="s">
        <v>107</v>
      </c>
      <c r="H71" s="1">
        <v>2</v>
      </c>
      <c r="I71" s="1" t="s">
        <v>23</v>
      </c>
      <c r="J71" s="17" t="str">
        <f t="shared" si="5"/>
        <v>CuATSM_1uM_t04_rpt-2</v>
      </c>
      <c r="L71" s="1" t="s">
        <v>26</v>
      </c>
      <c r="M71" s="16" t="s">
        <v>29</v>
      </c>
      <c r="N71" s="1">
        <f t="shared" si="6"/>
        <v>8</v>
      </c>
      <c r="O71" s="1" t="str">
        <f t="shared" si="7"/>
        <v>B:E8</v>
      </c>
    </row>
    <row r="72" spans="3:15" x14ac:dyDescent="0.25">
      <c r="C72" s="7">
        <f t="shared" si="8"/>
        <v>1.6215277777777781</v>
      </c>
      <c r="D72" t="s">
        <v>112</v>
      </c>
      <c r="E72" t="s">
        <v>116</v>
      </c>
      <c r="F72" s="1" t="s">
        <v>119</v>
      </c>
      <c r="G72" s="1" t="s">
        <v>107</v>
      </c>
      <c r="H72" s="1">
        <v>3</v>
      </c>
      <c r="I72" s="1" t="s">
        <v>23</v>
      </c>
      <c r="J72" s="17" t="str">
        <f t="shared" si="5"/>
        <v>CuATSM_1uM_t04_rpt-3</v>
      </c>
      <c r="L72" s="1" t="s">
        <v>26</v>
      </c>
      <c r="M72" s="1" t="s">
        <v>30</v>
      </c>
      <c r="N72" s="1">
        <f t="shared" si="6"/>
        <v>8</v>
      </c>
      <c r="O72" s="1" t="str">
        <f t="shared" si="7"/>
        <v>B:F8</v>
      </c>
    </row>
    <row r="73" spans="3:15" x14ac:dyDescent="0.25">
      <c r="C73" s="7">
        <f t="shared" si="8"/>
        <v>1.6357638888888892</v>
      </c>
      <c r="D73" t="s">
        <v>115</v>
      </c>
      <c r="E73" t="s">
        <v>114</v>
      </c>
      <c r="F73" s="1" t="s">
        <v>119</v>
      </c>
      <c r="G73" s="1" t="s">
        <v>107</v>
      </c>
      <c r="H73" s="1">
        <v>1</v>
      </c>
      <c r="I73" s="1" t="s">
        <v>23</v>
      </c>
      <c r="J73" s="17" t="str">
        <f t="shared" si="5"/>
        <v>CuATSM-d6_10uM_t04_rpt-1</v>
      </c>
      <c r="L73" s="1" t="s">
        <v>26</v>
      </c>
      <c r="M73" s="1" t="s">
        <v>24</v>
      </c>
      <c r="N73" s="1">
        <f t="shared" si="6"/>
        <v>9</v>
      </c>
      <c r="O73" s="1" t="str">
        <f t="shared" si="7"/>
        <v>B:A9</v>
      </c>
    </row>
    <row r="74" spans="3:15" x14ac:dyDescent="0.25">
      <c r="C74" s="7">
        <f t="shared" si="8"/>
        <v>1.6500000000000004</v>
      </c>
      <c r="D74" t="s">
        <v>115</v>
      </c>
      <c r="E74" t="s">
        <v>114</v>
      </c>
      <c r="F74" s="1" t="s">
        <v>119</v>
      </c>
      <c r="G74" s="1" t="s">
        <v>107</v>
      </c>
      <c r="H74" s="1">
        <v>2</v>
      </c>
      <c r="I74" s="1" t="s">
        <v>23</v>
      </c>
      <c r="J74" s="17" t="str">
        <f t="shared" si="5"/>
        <v>CuATSM-d6_10uM_t04_rpt-2</v>
      </c>
      <c r="L74" s="1" t="s">
        <v>26</v>
      </c>
      <c r="M74" s="1" t="s">
        <v>26</v>
      </c>
      <c r="N74" s="1">
        <f t="shared" si="6"/>
        <v>9</v>
      </c>
      <c r="O74" s="1" t="str">
        <f t="shared" si="7"/>
        <v>B:B9</v>
      </c>
    </row>
    <row r="75" spans="3:15" x14ac:dyDescent="0.25">
      <c r="C75" s="7">
        <f t="shared" si="8"/>
        <v>1.6642361111111115</v>
      </c>
      <c r="D75" t="s">
        <v>115</v>
      </c>
      <c r="E75" t="s">
        <v>114</v>
      </c>
      <c r="F75" s="1" t="s">
        <v>119</v>
      </c>
      <c r="G75" s="1" t="s">
        <v>107</v>
      </c>
      <c r="H75" s="1">
        <v>3</v>
      </c>
      <c r="I75" s="1" t="s">
        <v>23</v>
      </c>
      <c r="J75" s="17" t="str">
        <f t="shared" si="5"/>
        <v>CuATSM-d6_10uM_t04_rpt-3</v>
      </c>
      <c r="L75" s="1" t="s">
        <v>26</v>
      </c>
      <c r="M75" s="1" t="s">
        <v>27</v>
      </c>
      <c r="N75" s="1">
        <f t="shared" si="6"/>
        <v>9</v>
      </c>
      <c r="O75" s="1" t="str">
        <f t="shared" si="7"/>
        <v>B:C9</v>
      </c>
    </row>
    <row r="76" spans="3:15" x14ac:dyDescent="0.25">
      <c r="C76" s="7">
        <f t="shared" si="8"/>
        <v>1.6784722222222226</v>
      </c>
      <c r="D76" t="s">
        <v>115</v>
      </c>
      <c r="E76" t="s">
        <v>116</v>
      </c>
      <c r="F76" s="1" t="s">
        <v>119</v>
      </c>
      <c r="G76" s="1" t="s">
        <v>107</v>
      </c>
      <c r="H76" s="1">
        <v>1</v>
      </c>
      <c r="I76" s="1" t="s">
        <v>23</v>
      </c>
      <c r="J76" s="17" t="str">
        <f t="shared" si="5"/>
        <v>CuATSM-d6_1uM_t04_rpt-1</v>
      </c>
      <c r="L76" s="1" t="s">
        <v>26</v>
      </c>
      <c r="M76" s="1" t="s">
        <v>28</v>
      </c>
      <c r="N76" s="1">
        <f t="shared" si="6"/>
        <v>9</v>
      </c>
      <c r="O76" s="1" t="str">
        <f t="shared" si="7"/>
        <v>B:D9</v>
      </c>
    </row>
    <row r="77" spans="3:15" x14ac:dyDescent="0.25">
      <c r="C77" s="7">
        <f t="shared" si="8"/>
        <v>1.6927083333333337</v>
      </c>
      <c r="D77" t="s">
        <v>115</v>
      </c>
      <c r="E77" t="s">
        <v>116</v>
      </c>
      <c r="F77" s="1" t="s">
        <v>119</v>
      </c>
      <c r="G77" s="1" t="s">
        <v>107</v>
      </c>
      <c r="H77" s="1">
        <v>2</v>
      </c>
      <c r="I77" s="1" t="s">
        <v>23</v>
      </c>
      <c r="J77" s="17" t="str">
        <f t="shared" si="5"/>
        <v>CuATSM-d6_1uM_t04_rpt-2</v>
      </c>
      <c r="L77" s="1" t="s">
        <v>26</v>
      </c>
      <c r="M77" s="1" t="s">
        <v>29</v>
      </c>
      <c r="N77" s="1">
        <f t="shared" si="6"/>
        <v>9</v>
      </c>
      <c r="O77" s="1" t="str">
        <f t="shared" si="7"/>
        <v>B:E9</v>
      </c>
    </row>
    <row r="78" spans="3:15" x14ac:dyDescent="0.25">
      <c r="C78" s="7">
        <f t="shared" si="8"/>
        <v>1.7069444444444448</v>
      </c>
      <c r="D78" t="s">
        <v>115</v>
      </c>
      <c r="E78" t="s">
        <v>116</v>
      </c>
      <c r="F78" s="1" t="s">
        <v>119</v>
      </c>
      <c r="G78" s="1" t="s">
        <v>107</v>
      </c>
      <c r="H78" s="1">
        <v>3</v>
      </c>
      <c r="I78" s="1" t="s">
        <v>23</v>
      </c>
      <c r="J78" s="17" t="str">
        <f t="shared" si="5"/>
        <v>CuATSM-d6_1uM_t04_rpt-3</v>
      </c>
      <c r="L78" s="1" t="s">
        <v>26</v>
      </c>
      <c r="M78" s="1" t="s">
        <v>30</v>
      </c>
      <c r="N78" s="1">
        <f t="shared" si="6"/>
        <v>9</v>
      </c>
      <c r="O78" s="1" t="str">
        <f t="shared" si="7"/>
        <v>B:F9</v>
      </c>
    </row>
    <row r="79" spans="3:15" x14ac:dyDescent="0.25">
      <c r="C79" s="7">
        <f t="shared" si="8"/>
        <v>1.7211805555555559</v>
      </c>
      <c r="D79" s="12" t="s">
        <v>105</v>
      </c>
      <c r="E79" s="14" t="s">
        <v>35</v>
      </c>
      <c r="F79" s="18" t="s">
        <v>36</v>
      </c>
      <c r="G79" s="18" t="s">
        <v>107</v>
      </c>
      <c r="H79" s="18">
        <v>4</v>
      </c>
      <c r="I79" s="18" t="s">
        <v>22</v>
      </c>
      <c r="J79" s="19" t="str">
        <f t="shared" si="5"/>
        <v>solvent_blank_water_rpt-4</v>
      </c>
      <c r="K79" s="20"/>
      <c r="L79" s="18" t="s">
        <v>31</v>
      </c>
      <c r="M79" s="18" t="s">
        <v>24</v>
      </c>
      <c r="N79" s="18">
        <v>9</v>
      </c>
      <c r="O79" s="18" t="str">
        <f t="shared" si="7"/>
        <v>G:A9</v>
      </c>
    </row>
    <row r="80" spans="3:15" x14ac:dyDescent="0.25">
      <c r="C80" s="7">
        <f t="shared" si="8"/>
        <v>1.7354166666666671</v>
      </c>
      <c r="D80" t="s">
        <v>113</v>
      </c>
      <c r="E80" t="s">
        <v>106</v>
      </c>
      <c r="F80" s="1" t="s">
        <v>120</v>
      </c>
      <c r="G80" s="1" t="s">
        <v>107</v>
      </c>
      <c r="H80" s="1">
        <v>1</v>
      </c>
      <c r="I80" s="1" t="s">
        <v>23</v>
      </c>
      <c r="J80" s="17" t="str">
        <f t="shared" si="5"/>
        <v>control_enzyme_t06_rpt-1</v>
      </c>
      <c r="L80" s="1" t="s">
        <v>26</v>
      </c>
      <c r="M80" s="1" t="s">
        <v>24</v>
      </c>
      <c r="N80" s="1">
        <f t="shared" ref="N80:N103" si="9">N55+3</f>
        <v>10</v>
      </c>
      <c r="O80" s="1" t="str">
        <f t="shared" si="7"/>
        <v>B:A10</v>
      </c>
    </row>
    <row r="81" spans="3:15" x14ac:dyDescent="0.25">
      <c r="C81" s="7">
        <f t="shared" si="8"/>
        <v>1.7496527777777782</v>
      </c>
      <c r="D81" t="s">
        <v>113</v>
      </c>
      <c r="E81" t="s">
        <v>106</v>
      </c>
      <c r="F81" s="1" t="s">
        <v>120</v>
      </c>
      <c r="G81" s="1" t="s">
        <v>107</v>
      </c>
      <c r="H81" s="1">
        <v>2</v>
      </c>
      <c r="I81" s="1" t="s">
        <v>23</v>
      </c>
      <c r="J81" s="17" t="str">
        <f t="shared" si="5"/>
        <v>control_enzyme_t06_rpt-2</v>
      </c>
      <c r="L81" s="1" t="s">
        <v>26</v>
      </c>
      <c r="M81" s="1" t="s">
        <v>26</v>
      </c>
      <c r="N81" s="1">
        <f t="shared" si="9"/>
        <v>10</v>
      </c>
      <c r="O81" s="1" t="str">
        <f t="shared" si="7"/>
        <v>B:B10</v>
      </c>
    </row>
    <row r="82" spans="3:15" x14ac:dyDescent="0.25">
      <c r="C82" s="7">
        <f t="shared" si="8"/>
        <v>1.7638888888888893</v>
      </c>
      <c r="D82" t="s">
        <v>113</v>
      </c>
      <c r="E82" t="s">
        <v>106</v>
      </c>
      <c r="F82" s="1" t="s">
        <v>120</v>
      </c>
      <c r="G82" s="1" t="s">
        <v>107</v>
      </c>
      <c r="H82" s="1">
        <v>3</v>
      </c>
      <c r="I82" s="1" t="s">
        <v>23</v>
      </c>
      <c r="J82" s="17" t="str">
        <f t="shared" si="5"/>
        <v>control_enzyme_t06_rpt-3</v>
      </c>
      <c r="L82" s="1" t="s">
        <v>26</v>
      </c>
      <c r="M82" s="1" t="s">
        <v>27</v>
      </c>
      <c r="N82" s="1">
        <f t="shared" si="9"/>
        <v>10</v>
      </c>
      <c r="O82" s="1" t="str">
        <f t="shared" si="7"/>
        <v>B:C10</v>
      </c>
    </row>
    <row r="83" spans="3:15" x14ac:dyDescent="0.25">
      <c r="C83" s="7">
        <f t="shared" si="8"/>
        <v>1.7781250000000004</v>
      </c>
      <c r="D83" t="s">
        <v>113</v>
      </c>
      <c r="E83" t="s">
        <v>109</v>
      </c>
      <c r="F83" s="1" t="s">
        <v>120</v>
      </c>
      <c r="G83" s="1" t="s">
        <v>107</v>
      </c>
      <c r="H83" s="1">
        <v>1</v>
      </c>
      <c r="I83" s="1" t="s">
        <v>23</v>
      </c>
      <c r="J83" s="17" t="str">
        <f t="shared" si="5"/>
        <v>control_inactive_t06_rpt-1</v>
      </c>
      <c r="L83" s="1" t="s">
        <v>26</v>
      </c>
      <c r="M83" s="1" t="s">
        <v>28</v>
      </c>
      <c r="N83" s="1">
        <f t="shared" si="9"/>
        <v>10</v>
      </c>
      <c r="O83" s="1" t="str">
        <f t="shared" si="7"/>
        <v>B:D10</v>
      </c>
    </row>
    <row r="84" spans="3:15" x14ac:dyDescent="0.25">
      <c r="C84" s="7">
        <f t="shared" si="8"/>
        <v>1.7923611111111115</v>
      </c>
      <c r="D84" t="s">
        <v>113</v>
      </c>
      <c r="E84" t="s">
        <v>109</v>
      </c>
      <c r="F84" s="1" t="s">
        <v>120</v>
      </c>
      <c r="G84" s="1" t="s">
        <v>107</v>
      </c>
      <c r="H84" s="1">
        <v>2</v>
      </c>
      <c r="I84" s="1" t="s">
        <v>23</v>
      </c>
      <c r="J84" s="17" t="str">
        <f t="shared" si="5"/>
        <v>control_inactive_t06_rpt-2</v>
      </c>
      <c r="L84" s="1" t="s">
        <v>26</v>
      </c>
      <c r="M84" s="1" t="s">
        <v>29</v>
      </c>
      <c r="N84" s="1">
        <f t="shared" si="9"/>
        <v>10</v>
      </c>
      <c r="O84" s="1" t="str">
        <f t="shared" si="7"/>
        <v>B:E10</v>
      </c>
    </row>
    <row r="85" spans="3:15" x14ac:dyDescent="0.25">
      <c r="C85" s="7">
        <f t="shared" si="8"/>
        <v>1.8065972222222226</v>
      </c>
      <c r="D85" t="s">
        <v>113</v>
      </c>
      <c r="E85" t="s">
        <v>109</v>
      </c>
      <c r="F85" s="1" t="s">
        <v>120</v>
      </c>
      <c r="G85" s="1" t="s">
        <v>107</v>
      </c>
      <c r="H85" s="1">
        <v>3</v>
      </c>
      <c r="I85" s="1" t="s">
        <v>23</v>
      </c>
      <c r="J85" s="17" t="str">
        <f t="shared" si="5"/>
        <v>control_inactive_t06_rpt-3</v>
      </c>
      <c r="L85" s="1" t="s">
        <v>26</v>
      </c>
      <c r="M85" s="1" t="s">
        <v>30</v>
      </c>
      <c r="N85" s="1">
        <f t="shared" si="9"/>
        <v>10</v>
      </c>
      <c r="O85" s="1" t="str">
        <f t="shared" si="7"/>
        <v>B:F10</v>
      </c>
    </row>
    <row r="86" spans="3:15" x14ac:dyDescent="0.25">
      <c r="C86" s="7">
        <f t="shared" si="8"/>
        <v>1.8208333333333337</v>
      </c>
      <c r="D86" t="s">
        <v>113</v>
      </c>
      <c r="E86" t="s">
        <v>110</v>
      </c>
      <c r="F86" s="1" t="s">
        <v>120</v>
      </c>
      <c r="G86" s="1" t="s">
        <v>107</v>
      </c>
      <c r="H86" s="1">
        <v>1</v>
      </c>
      <c r="I86" s="1" t="s">
        <v>23</v>
      </c>
      <c r="J86" s="17" t="str">
        <f t="shared" si="5"/>
        <v>control_no-enz_t06_rpt-1</v>
      </c>
      <c r="L86" s="1" t="s">
        <v>26</v>
      </c>
      <c r="M86" s="1" t="s">
        <v>31</v>
      </c>
      <c r="N86" s="1">
        <f t="shared" si="9"/>
        <v>10</v>
      </c>
      <c r="O86" s="1" t="str">
        <f t="shared" si="7"/>
        <v>B:G10</v>
      </c>
    </row>
    <row r="87" spans="3:15" x14ac:dyDescent="0.25">
      <c r="C87" s="7">
        <f t="shared" si="8"/>
        <v>1.8350694444444449</v>
      </c>
      <c r="D87" t="s">
        <v>113</v>
      </c>
      <c r="E87" t="s">
        <v>110</v>
      </c>
      <c r="F87" s="1" t="s">
        <v>120</v>
      </c>
      <c r="G87" s="1" t="s">
        <v>107</v>
      </c>
      <c r="H87" s="1">
        <v>2</v>
      </c>
      <c r="I87" s="1" t="s">
        <v>23</v>
      </c>
      <c r="J87" s="17" t="str">
        <f t="shared" si="5"/>
        <v>control_no-enz_t06_rpt-2</v>
      </c>
      <c r="L87" s="1" t="s">
        <v>26</v>
      </c>
      <c r="M87" s="1" t="s">
        <v>31</v>
      </c>
      <c r="N87" s="1">
        <f t="shared" si="9"/>
        <v>11</v>
      </c>
      <c r="O87" s="1" t="str">
        <f t="shared" si="7"/>
        <v>B:G11</v>
      </c>
    </row>
    <row r="88" spans="3:15" x14ac:dyDescent="0.25">
      <c r="C88" s="7">
        <f t="shared" si="8"/>
        <v>1.849305555555556</v>
      </c>
      <c r="D88" t="s">
        <v>113</v>
      </c>
      <c r="E88" t="s">
        <v>110</v>
      </c>
      <c r="F88" s="1" t="s">
        <v>120</v>
      </c>
      <c r="G88" s="1" t="s">
        <v>107</v>
      </c>
      <c r="H88" s="1">
        <v>3</v>
      </c>
      <c r="I88" s="1" t="s">
        <v>23</v>
      </c>
      <c r="J88" s="17" t="str">
        <f t="shared" si="5"/>
        <v>control_no-enz_t06_rpt-3</v>
      </c>
      <c r="L88" s="1" t="s">
        <v>26</v>
      </c>
      <c r="M88" s="1" t="s">
        <v>31</v>
      </c>
      <c r="N88" s="1">
        <f t="shared" si="9"/>
        <v>12</v>
      </c>
      <c r="O88" s="1" t="str">
        <f t="shared" si="7"/>
        <v>B:G12</v>
      </c>
    </row>
    <row r="89" spans="3:15" x14ac:dyDescent="0.25">
      <c r="C89" s="7">
        <f t="shared" si="8"/>
        <v>1.8635416666666671</v>
      </c>
      <c r="D89" t="s">
        <v>113</v>
      </c>
      <c r="E89" t="s">
        <v>111</v>
      </c>
      <c r="F89" s="1" t="s">
        <v>120</v>
      </c>
      <c r="G89" s="1" t="s">
        <v>107</v>
      </c>
      <c r="H89" s="1">
        <v>1</v>
      </c>
      <c r="I89" s="1" t="s">
        <v>23</v>
      </c>
      <c r="J89" s="17" t="str">
        <f t="shared" si="5"/>
        <v>control_co-factor_t06_rpt-1</v>
      </c>
      <c r="L89" s="1" t="s">
        <v>26</v>
      </c>
      <c r="M89" s="1" t="s">
        <v>74</v>
      </c>
      <c r="N89" s="1">
        <f t="shared" si="9"/>
        <v>10</v>
      </c>
      <c r="O89" s="1" t="str">
        <f t="shared" si="7"/>
        <v>B:H10</v>
      </c>
    </row>
    <row r="90" spans="3:15" x14ac:dyDescent="0.25">
      <c r="C90" s="7">
        <f t="shared" si="8"/>
        <v>1.8777777777777782</v>
      </c>
      <c r="D90" t="s">
        <v>113</v>
      </c>
      <c r="E90" t="s">
        <v>111</v>
      </c>
      <c r="F90" s="1" t="s">
        <v>120</v>
      </c>
      <c r="G90" s="1" t="s">
        <v>107</v>
      </c>
      <c r="H90" s="1">
        <v>2</v>
      </c>
      <c r="I90" s="1" t="s">
        <v>23</v>
      </c>
      <c r="J90" s="17" t="str">
        <f t="shared" si="5"/>
        <v>control_co-factor_t06_rpt-2</v>
      </c>
      <c r="L90" s="1" t="s">
        <v>26</v>
      </c>
      <c r="M90" s="1" t="s">
        <v>74</v>
      </c>
      <c r="N90" s="1">
        <f t="shared" si="9"/>
        <v>11</v>
      </c>
      <c r="O90" s="1" t="str">
        <f t="shared" si="7"/>
        <v>B:H11</v>
      </c>
    </row>
    <row r="91" spans="3:15" x14ac:dyDescent="0.25">
      <c r="C91" s="7">
        <f t="shared" si="8"/>
        <v>1.8920138888888893</v>
      </c>
      <c r="D91" t="s">
        <v>113</v>
      </c>
      <c r="E91" t="s">
        <v>111</v>
      </c>
      <c r="F91" s="1" t="s">
        <v>120</v>
      </c>
      <c r="G91" s="1" t="s">
        <v>107</v>
      </c>
      <c r="H91" s="1">
        <v>3</v>
      </c>
      <c r="I91" s="1" t="s">
        <v>23</v>
      </c>
      <c r="J91" s="17" t="str">
        <f t="shared" si="5"/>
        <v>control_co-factor_t06_rpt-3</v>
      </c>
      <c r="L91" s="1" t="s">
        <v>26</v>
      </c>
      <c r="M91" s="1" t="s">
        <v>74</v>
      </c>
      <c r="N91" s="1">
        <f t="shared" si="9"/>
        <v>12</v>
      </c>
      <c r="O91" s="1" t="str">
        <f t="shared" si="7"/>
        <v>B:H12</v>
      </c>
    </row>
    <row r="92" spans="3:15" x14ac:dyDescent="0.25">
      <c r="C92" s="7">
        <f t="shared" si="8"/>
        <v>1.9062500000000004</v>
      </c>
      <c r="D92" t="s">
        <v>112</v>
      </c>
      <c r="E92" t="s">
        <v>114</v>
      </c>
      <c r="F92" s="1" t="s">
        <v>120</v>
      </c>
      <c r="G92" s="1" t="s">
        <v>107</v>
      </c>
      <c r="H92" s="1">
        <v>1</v>
      </c>
      <c r="I92" s="1" t="s">
        <v>23</v>
      </c>
      <c r="J92" s="17" t="str">
        <f t="shared" si="5"/>
        <v>CuATSM_10uM_t06_rpt-1</v>
      </c>
      <c r="L92" s="1" t="s">
        <v>26</v>
      </c>
      <c r="M92" s="1" t="s">
        <v>24</v>
      </c>
      <c r="N92" s="1">
        <f t="shared" si="9"/>
        <v>11</v>
      </c>
      <c r="O92" s="1" t="str">
        <f t="shared" si="7"/>
        <v>B:A11</v>
      </c>
    </row>
    <row r="93" spans="3:15" x14ac:dyDescent="0.25">
      <c r="C93" s="7">
        <f t="shared" si="8"/>
        <v>1.9204861111111116</v>
      </c>
      <c r="D93" t="s">
        <v>112</v>
      </c>
      <c r="E93" t="s">
        <v>114</v>
      </c>
      <c r="F93" s="1" t="s">
        <v>120</v>
      </c>
      <c r="G93" s="1" t="s">
        <v>107</v>
      </c>
      <c r="H93" s="1">
        <v>2</v>
      </c>
      <c r="I93" s="1" t="s">
        <v>23</v>
      </c>
      <c r="J93" s="17" t="str">
        <f t="shared" si="5"/>
        <v>CuATSM_10uM_t06_rpt-2</v>
      </c>
      <c r="L93" s="1" t="s">
        <v>26</v>
      </c>
      <c r="M93" s="1" t="s">
        <v>26</v>
      </c>
      <c r="N93" s="1">
        <f t="shared" si="9"/>
        <v>11</v>
      </c>
      <c r="O93" s="1" t="str">
        <f t="shared" si="7"/>
        <v>B:B11</v>
      </c>
    </row>
    <row r="94" spans="3:15" x14ac:dyDescent="0.25">
      <c r="C94" s="7">
        <f t="shared" si="8"/>
        <v>1.9347222222222227</v>
      </c>
      <c r="D94" t="s">
        <v>112</v>
      </c>
      <c r="E94" t="s">
        <v>114</v>
      </c>
      <c r="F94" s="1" t="s">
        <v>120</v>
      </c>
      <c r="G94" s="1" t="s">
        <v>107</v>
      </c>
      <c r="H94" s="1">
        <v>3</v>
      </c>
      <c r="I94" s="1" t="s">
        <v>23</v>
      </c>
      <c r="J94" s="17" t="str">
        <f t="shared" si="5"/>
        <v>CuATSM_10uM_t06_rpt-3</v>
      </c>
      <c r="L94" s="1" t="s">
        <v>26</v>
      </c>
      <c r="M94" s="1" t="s">
        <v>27</v>
      </c>
      <c r="N94" s="1">
        <f t="shared" si="9"/>
        <v>11</v>
      </c>
      <c r="O94" s="1" t="str">
        <f t="shared" si="7"/>
        <v>B:C11</v>
      </c>
    </row>
    <row r="95" spans="3:15" x14ac:dyDescent="0.25">
      <c r="C95" s="7">
        <f t="shared" si="8"/>
        <v>1.9489583333333338</v>
      </c>
      <c r="D95" t="s">
        <v>112</v>
      </c>
      <c r="E95" t="s">
        <v>116</v>
      </c>
      <c r="F95" s="1" t="s">
        <v>120</v>
      </c>
      <c r="G95" s="1" t="s">
        <v>107</v>
      </c>
      <c r="H95" s="1">
        <v>1</v>
      </c>
      <c r="I95" s="1" t="s">
        <v>23</v>
      </c>
      <c r="J95" s="17" t="str">
        <f t="shared" si="5"/>
        <v>CuATSM_1uM_t06_rpt-1</v>
      </c>
      <c r="L95" s="1" t="s">
        <v>26</v>
      </c>
      <c r="M95" s="1" t="s">
        <v>28</v>
      </c>
      <c r="N95" s="1">
        <f t="shared" si="9"/>
        <v>11</v>
      </c>
      <c r="O95" s="1" t="str">
        <f t="shared" si="7"/>
        <v>B:D11</v>
      </c>
    </row>
    <row r="96" spans="3:15" x14ac:dyDescent="0.25">
      <c r="C96" s="7">
        <f t="shared" si="8"/>
        <v>1.9631944444444449</v>
      </c>
      <c r="D96" t="s">
        <v>112</v>
      </c>
      <c r="E96" t="s">
        <v>116</v>
      </c>
      <c r="F96" s="1" t="s">
        <v>120</v>
      </c>
      <c r="G96" s="1" t="s">
        <v>107</v>
      </c>
      <c r="H96" s="1">
        <v>2</v>
      </c>
      <c r="I96" s="1" t="s">
        <v>23</v>
      </c>
      <c r="J96" s="17" t="str">
        <f t="shared" si="5"/>
        <v>CuATSM_1uM_t06_rpt-2</v>
      </c>
      <c r="L96" s="1" t="s">
        <v>26</v>
      </c>
      <c r="M96" s="16" t="s">
        <v>29</v>
      </c>
      <c r="N96" s="1">
        <f t="shared" si="9"/>
        <v>11</v>
      </c>
      <c r="O96" s="1" t="str">
        <f t="shared" si="7"/>
        <v>B:E11</v>
      </c>
    </row>
    <row r="97" spans="2:15" x14ac:dyDescent="0.25">
      <c r="C97" s="7">
        <f t="shared" si="8"/>
        <v>1.977430555555556</v>
      </c>
      <c r="D97" t="s">
        <v>112</v>
      </c>
      <c r="E97" t="s">
        <v>116</v>
      </c>
      <c r="F97" s="1" t="s">
        <v>120</v>
      </c>
      <c r="G97" s="1" t="s">
        <v>107</v>
      </c>
      <c r="H97" s="1">
        <v>3</v>
      </c>
      <c r="I97" s="1" t="s">
        <v>23</v>
      </c>
      <c r="J97" s="17" t="str">
        <f t="shared" si="5"/>
        <v>CuATSM_1uM_t06_rpt-3</v>
      </c>
      <c r="L97" s="1" t="s">
        <v>26</v>
      </c>
      <c r="M97" s="1" t="s">
        <v>30</v>
      </c>
      <c r="N97" s="1">
        <f t="shared" si="9"/>
        <v>11</v>
      </c>
      <c r="O97" s="1" t="str">
        <f t="shared" si="7"/>
        <v>B:F11</v>
      </c>
    </row>
    <row r="98" spans="2:15" x14ac:dyDescent="0.25">
      <c r="C98" s="7">
        <f t="shared" si="8"/>
        <v>1.9916666666666671</v>
      </c>
      <c r="D98" t="s">
        <v>115</v>
      </c>
      <c r="E98" t="s">
        <v>114</v>
      </c>
      <c r="F98" s="1" t="s">
        <v>120</v>
      </c>
      <c r="G98" s="1" t="s">
        <v>107</v>
      </c>
      <c r="H98" s="1">
        <v>1</v>
      </c>
      <c r="I98" s="1" t="s">
        <v>23</v>
      </c>
      <c r="J98" s="17" t="str">
        <f t="shared" si="5"/>
        <v>CuATSM-d6_10uM_t06_rpt-1</v>
      </c>
      <c r="L98" s="1" t="s">
        <v>26</v>
      </c>
      <c r="M98" s="1" t="s">
        <v>24</v>
      </c>
      <c r="N98" s="1">
        <f t="shared" si="9"/>
        <v>12</v>
      </c>
      <c r="O98" s="1" t="str">
        <f t="shared" si="7"/>
        <v>B:A12</v>
      </c>
    </row>
    <row r="99" spans="2:15" x14ac:dyDescent="0.25">
      <c r="B99" t="s">
        <v>422</v>
      </c>
      <c r="C99" s="7">
        <f t="shared" si="8"/>
        <v>2.005902777777778</v>
      </c>
      <c r="D99" t="s">
        <v>115</v>
      </c>
      <c r="E99" t="s">
        <v>114</v>
      </c>
      <c r="F99" s="1" t="s">
        <v>120</v>
      </c>
      <c r="G99" s="1" t="s">
        <v>107</v>
      </c>
      <c r="H99" s="1">
        <v>2</v>
      </c>
      <c r="I99" s="1" t="s">
        <v>23</v>
      </c>
      <c r="J99" s="17" t="str">
        <f t="shared" si="5"/>
        <v>CuATSM-d6_10uM_t06_rpt-2</v>
      </c>
      <c r="L99" s="1" t="s">
        <v>26</v>
      </c>
      <c r="M99" s="1" t="s">
        <v>26</v>
      </c>
      <c r="N99" s="1">
        <f t="shared" si="9"/>
        <v>12</v>
      </c>
      <c r="O99" s="1" t="str">
        <f t="shared" si="7"/>
        <v>B:B12</v>
      </c>
    </row>
    <row r="100" spans="2:15" x14ac:dyDescent="0.25">
      <c r="C100" s="7">
        <f t="shared" si="8"/>
        <v>2.0201388888888889</v>
      </c>
      <c r="D100" t="s">
        <v>115</v>
      </c>
      <c r="E100" t="s">
        <v>114</v>
      </c>
      <c r="F100" s="1" t="s">
        <v>120</v>
      </c>
      <c r="G100" s="1" t="s">
        <v>107</v>
      </c>
      <c r="H100" s="1">
        <v>3</v>
      </c>
      <c r="I100" s="1" t="s">
        <v>23</v>
      </c>
      <c r="J100" s="17" t="str">
        <f t="shared" si="5"/>
        <v>CuATSM-d6_10uM_t06_rpt-3</v>
      </c>
      <c r="L100" s="1" t="s">
        <v>26</v>
      </c>
      <c r="M100" s="1" t="s">
        <v>27</v>
      </c>
      <c r="N100" s="1">
        <f t="shared" si="9"/>
        <v>12</v>
      </c>
      <c r="O100" s="1" t="str">
        <f t="shared" si="7"/>
        <v>B:C12</v>
      </c>
    </row>
    <row r="101" spans="2:15" x14ac:dyDescent="0.25">
      <c r="C101" s="7">
        <f t="shared" si="8"/>
        <v>2.0343749999999998</v>
      </c>
      <c r="D101" t="s">
        <v>115</v>
      </c>
      <c r="E101" t="s">
        <v>116</v>
      </c>
      <c r="F101" s="1" t="s">
        <v>120</v>
      </c>
      <c r="G101" s="1" t="s">
        <v>107</v>
      </c>
      <c r="H101" s="1">
        <v>1</v>
      </c>
      <c r="I101" s="1" t="s">
        <v>23</v>
      </c>
      <c r="J101" s="17" t="str">
        <f t="shared" si="5"/>
        <v>CuATSM-d6_1uM_t06_rpt-1</v>
      </c>
      <c r="L101" s="1" t="s">
        <v>26</v>
      </c>
      <c r="M101" s="1" t="s">
        <v>28</v>
      </c>
      <c r="N101" s="1">
        <f t="shared" si="9"/>
        <v>12</v>
      </c>
      <c r="O101" s="1" t="str">
        <f t="shared" si="7"/>
        <v>B:D12</v>
      </c>
    </row>
    <row r="102" spans="2:15" x14ac:dyDescent="0.25">
      <c r="C102" s="7">
        <f t="shared" si="8"/>
        <v>2.0486111111111107</v>
      </c>
      <c r="D102" t="s">
        <v>115</v>
      </c>
      <c r="E102" t="s">
        <v>116</v>
      </c>
      <c r="F102" s="1" t="s">
        <v>120</v>
      </c>
      <c r="G102" s="1" t="s">
        <v>107</v>
      </c>
      <c r="H102" s="1">
        <v>2</v>
      </c>
      <c r="I102" s="1" t="s">
        <v>23</v>
      </c>
      <c r="J102" s="17" t="str">
        <f t="shared" si="5"/>
        <v>CuATSM-d6_1uM_t06_rpt-2</v>
      </c>
      <c r="L102" s="1" t="s">
        <v>26</v>
      </c>
      <c r="M102" s="1" t="s">
        <v>29</v>
      </c>
      <c r="N102" s="1">
        <f t="shared" si="9"/>
        <v>12</v>
      </c>
      <c r="O102" s="1" t="str">
        <f t="shared" si="7"/>
        <v>B:E12</v>
      </c>
    </row>
    <row r="103" spans="2:15" x14ac:dyDescent="0.25">
      <c r="C103" s="7">
        <f t="shared" si="8"/>
        <v>2.0628472222222216</v>
      </c>
      <c r="D103" t="s">
        <v>115</v>
      </c>
      <c r="E103" t="s">
        <v>116</v>
      </c>
      <c r="F103" s="1" t="s">
        <v>120</v>
      </c>
      <c r="G103" s="1" t="s">
        <v>107</v>
      </c>
      <c r="H103" s="1">
        <v>3</v>
      </c>
      <c r="I103" s="1" t="s">
        <v>23</v>
      </c>
      <c r="J103" s="17" t="str">
        <f t="shared" si="5"/>
        <v>CuATSM-d6_1uM_t06_rpt-3</v>
      </c>
      <c r="L103" s="1" t="s">
        <v>26</v>
      </c>
      <c r="M103" s="1" t="s">
        <v>30</v>
      </c>
      <c r="N103" s="1">
        <f t="shared" si="9"/>
        <v>12</v>
      </c>
      <c r="O103" s="1" t="str">
        <f t="shared" si="7"/>
        <v>B:F12</v>
      </c>
    </row>
    <row r="104" spans="2:15" x14ac:dyDescent="0.25">
      <c r="C104" s="7">
        <f t="shared" si="8"/>
        <v>2.0770833333333325</v>
      </c>
      <c r="D104" s="12" t="s">
        <v>105</v>
      </c>
      <c r="E104" s="14" t="s">
        <v>35</v>
      </c>
      <c r="F104" s="18" t="s">
        <v>36</v>
      </c>
      <c r="G104" s="18" t="s">
        <v>107</v>
      </c>
      <c r="H104" s="18">
        <v>5</v>
      </c>
      <c r="I104" s="18" t="s">
        <v>22</v>
      </c>
      <c r="J104" s="19" t="str">
        <f t="shared" si="5"/>
        <v>solvent_blank_water_rpt-5</v>
      </c>
      <c r="K104" s="20"/>
      <c r="L104" s="18" t="s">
        <v>31</v>
      </c>
      <c r="M104" s="18" t="s">
        <v>24</v>
      </c>
      <c r="N104" s="18">
        <v>9</v>
      </c>
      <c r="O104" s="18" t="str">
        <f t="shared" si="7"/>
        <v>G:A9</v>
      </c>
    </row>
    <row r="105" spans="2:15" x14ac:dyDescent="0.25">
      <c r="C105" s="7">
        <f t="shared" si="8"/>
        <v>2.0913194444444434</v>
      </c>
      <c r="D105" s="11" t="s">
        <v>103</v>
      </c>
      <c r="E105" s="13" t="s">
        <v>104</v>
      </c>
      <c r="F105" s="1" t="s">
        <v>421</v>
      </c>
      <c r="G105" s="1" t="s">
        <v>107</v>
      </c>
      <c r="H105" s="1">
        <v>2</v>
      </c>
      <c r="I105" s="16" t="s">
        <v>22</v>
      </c>
      <c r="J105" s="17" t="str">
        <f t="shared" si="5"/>
        <v>system_QC_caffeine-dil10_rpt-2</v>
      </c>
      <c r="L105" s="16" t="s">
        <v>31</v>
      </c>
      <c r="M105" s="16" t="s">
        <v>26</v>
      </c>
      <c r="N105" s="16">
        <v>3</v>
      </c>
      <c r="O105" s="1" t="str">
        <f t="shared" si="7"/>
        <v>G:B3</v>
      </c>
    </row>
    <row r="106" spans="2:15" x14ac:dyDescent="0.25">
      <c r="C106" s="7">
        <f t="shared" si="8"/>
        <v>2.1055555555555543</v>
      </c>
      <c r="D106" s="12" t="s">
        <v>105</v>
      </c>
      <c r="E106" s="14" t="s">
        <v>35</v>
      </c>
      <c r="F106" s="18" t="s">
        <v>36</v>
      </c>
      <c r="G106" s="18" t="s">
        <v>107</v>
      </c>
      <c r="H106" s="18">
        <v>6</v>
      </c>
      <c r="I106" s="18" t="s">
        <v>22</v>
      </c>
      <c r="J106" s="19" t="str">
        <f t="shared" ref="J106" si="10">CONCATENATE(D106,"_",E106,"_",F106,"_",G106,"-",H106)</f>
        <v>solvent_blank_water_rpt-6</v>
      </c>
      <c r="K106" s="20"/>
      <c r="L106" s="18" t="s">
        <v>31</v>
      </c>
      <c r="M106" s="18" t="s">
        <v>24</v>
      </c>
      <c r="N106" s="18">
        <v>8</v>
      </c>
      <c r="O106" s="18" t="str">
        <f t="shared" ref="O106" si="11">CONCATENATE(L106,":",M106,N106)</f>
        <v>G:A8</v>
      </c>
    </row>
    <row r="107" spans="2:15" x14ac:dyDescent="0.25">
      <c r="C107" s="7">
        <f t="shared" si="8"/>
        <v>2.1197916666666652</v>
      </c>
      <c r="D107" t="s">
        <v>113</v>
      </c>
      <c r="E107" t="s">
        <v>106</v>
      </c>
      <c r="F107" s="1" t="s">
        <v>32</v>
      </c>
      <c r="G107" s="1" t="s">
        <v>107</v>
      </c>
      <c r="H107" s="1">
        <v>1</v>
      </c>
      <c r="I107" s="1" t="s">
        <v>23</v>
      </c>
      <c r="J107" s="17" t="str">
        <f t="shared" si="5"/>
        <v>control_enzyme_t10_rpt-1</v>
      </c>
      <c r="L107" s="1" t="s">
        <v>347</v>
      </c>
      <c r="M107" s="1" t="s">
        <v>24</v>
      </c>
      <c r="N107" s="1">
        <v>1</v>
      </c>
      <c r="O107" s="1" t="str">
        <f t="shared" ref="O107:O130" si="12">CONCATENATE(L107,":",M107,N107)</f>
        <v>Y:A1</v>
      </c>
    </row>
    <row r="108" spans="2:15" x14ac:dyDescent="0.25">
      <c r="C108" s="7">
        <f t="shared" si="8"/>
        <v>2.1340277777777761</v>
      </c>
      <c r="D108" t="s">
        <v>113</v>
      </c>
      <c r="E108" t="s">
        <v>106</v>
      </c>
      <c r="F108" s="1" t="s">
        <v>32</v>
      </c>
      <c r="G108" s="1" t="s">
        <v>107</v>
      </c>
      <c r="H108" s="1">
        <v>2</v>
      </c>
      <c r="I108" s="1" t="s">
        <v>23</v>
      </c>
      <c r="J108" s="17" t="str">
        <f t="shared" si="5"/>
        <v>control_enzyme_t10_rpt-2</v>
      </c>
      <c r="L108" s="1" t="s">
        <v>347</v>
      </c>
      <c r="M108" s="1" t="s">
        <v>26</v>
      </c>
      <c r="N108" s="1">
        <v>1</v>
      </c>
      <c r="O108" s="1" t="str">
        <f t="shared" si="12"/>
        <v>Y:B1</v>
      </c>
    </row>
    <row r="109" spans="2:15" x14ac:dyDescent="0.25">
      <c r="C109" s="7">
        <f t="shared" si="8"/>
        <v>2.148263888888887</v>
      </c>
      <c r="D109" t="s">
        <v>113</v>
      </c>
      <c r="E109" t="s">
        <v>106</v>
      </c>
      <c r="F109" s="1" t="s">
        <v>32</v>
      </c>
      <c r="G109" s="1" t="s">
        <v>107</v>
      </c>
      <c r="H109" s="1">
        <v>3</v>
      </c>
      <c r="I109" s="1" t="s">
        <v>23</v>
      </c>
      <c r="J109" s="17" t="str">
        <f t="shared" si="5"/>
        <v>control_enzyme_t10_rpt-3</v>
      </c>
      <c r="L109" s="1" t="s">
        <v>347</v>
      </c>
      <c r="M109" s="1" t="s">
        <v>27</v>
      </c>
      <c r="N109" s="1">
        <v>1</v>
      </c>
      <c r="O109" s="1" t="str">
        <f t="shared" si="12"/>
        <v>Y:C1</v>
      </c>
    </row>
    <row r="110" spans="2:15" x14ac:dyDescent="0.25">
      <c r="C110" s="7">
        <f t="shared" si="8"/>
        <v>2.1624999999999979</v>
      </c>
      <c r="D110" t="s">
        <v>113</v>
      </c>
      <c r="E110" t="s">
        <v>109</v>
      </c>
      <c r="F110" s="1" t="s">
        <v>32</v>
      </c>
      <c r="G110" s="1" t="s">
        <v>107</v>
      </c>
      <c r="H110" s="1">
        <v>1</v>
      </c>
      <c r="I110" s="1" t="s">
        <v>23</v>
      </c>
      <c r="J110" s="17" t="str">
        <f t="shared" si="5"/>
        <v>control_inactive_t10_rpt-1</v>
      </c>
      <c r="L110" s="1" t="s">
        <v>347</v>
      </c>
      <c r="M110" s="1" t="s">
        <v>28</v>
      </c>
      <c r="N110" s="1">
        <v>1</v>
      </c>
      <c r="O110" s="1" t="str">
        <f t="shared" si="12"/>
        <v>Y:D1</v>
      </c>
    </row>
    <row r="111" spans="2:15" x14ac:dyDescent="0.25">
      <c r="C111" s="7">
        <f t="shared" si="8"/>
        <v>2.1767361111111088</v>
      </c>
      <c r="D111" t="s">
        <v>113</v>
      </c>
      <c r="E111" t="s">
        <v>109</v>
      </c>
      <c r="F111" s="1" t="s">
        <v>32</v>
      </c>
      <c r="G111" s="1" t="s">
        <v>107</v>
      </c>
      <c r="H111" s="1">
        <v>2</v>
      </c>
      <c r="I111" s="1" t="s">
        <v>23</v>
      </c>
      <c r="J111" s="17" t="str">
        <f t="shared" si="5"/>
        <v>control_inactive_t10_rpt-2</v>
      </c>
      <c r="L111" s="1" t="s">
        <v>347</v>
      </c>
      <c r="M111" s="1" t="s">
        <v>29</v>
      </c>
      <c r="N111" s="1">
        <v>1</v>
      </c>
      <c r="O111" s="1" t="str">
        <f t="shared" si="12"/>
        <v>Y:E1</v>
      </c>
    </row>
    <row r="112" spans="2:15" x14ac:dyDescent="0.25">
      <c r="C112" s="7">
        <f t="shared" si="8"/>
        <v>2.1909722222222197</v>
      </c>
      <c r="D112" t="s">
        <v>113</v>
      </c>
      <c r="E112" t="s">
        <v>109</v>
      </c>
      <c r="F112" s="1" t="s">
        <v>32</v>
      </c>
      <c r="G112" s="1" t="s">
        <v>107</v>
      </c>
      <c r="H112" s="1">
        <v>3</v>
      </c>
      <c r="I112" s="1" t="s">
        <v>23</v>
      </c>
      <c r="J112" s="17" t="str">
        <f t="shared" si="5"/>
        <v>control_inactive_t10_rpt-3</v>
      </c>
      <c r="L112" s="1" t="s">
        <v>347</v>
      </c>
      <c r="M112" s="1" t="s">
        <v>30</v>
      </c>
      <c r="N112" s="1">
        <v>1</v>
      </c>
      <c r="O112" s="1" t="str">
        <f t="shared" si="12"/>
        <v>Y:F1</v>
      </c>
    </row>
    <row r="113" spans="3:15" x14ac:dyDescent="0.25">
      <c r="C113" s="7">
        <f t="shared" si="8"/>
        <v>2.2052083333333306</v>
      </c>
      <c r="D113" t="s">
        <v>113</v>
      </c>
      <c r="E113" t="s">
        <v>110</v>
      </c>
      <c r="F113" s="1" t="s">
        <v>32</v>
      </c>
      <c r="G113" s="1" t="s">
        <v>107</v>
      </c>
      <c r="H113" s="1">
        <v>1</v>
      </c>
      <c r="I113" s="1" t="s">
        <v>23</v>
      </c>
      <c r="J113" s="17" t="str">
        <f t="shared" si="5"/>
        <v>control_no-enz_t10_rpt-1</v>
      </c>
      <c r="L113" s="1" t="s">
        <v>347</v>
      </c>
      <c r="M113" s="1" t="s">
        <v>31</v>
      </c>
      <c r="N113" s="1">
        <v>1</v>
      </c>
      <c r="O113" s="1" t="str">
        <f t="shared" si="12"/>
        <v>Y:G1</v>
      </c>
    </row>
    <row r="114" spans="3:15" x14ac:dyDescent="0.25">
      <c r="C114" s="7">
        <f t="shared" si="8"/>
        <v>2.2194444444444414</v>
      </c>
      <c r="D114" t="s">
        <v>113</v>
      </c>
      <c r="E114" t="s">
        <v>110</v>
      </c>
      <c r="F114" s="1" t="s">
        <v>32</v>
      </c>
      <c r="G114" s="1" t="s">
        <v>107</v>
      </c>
      <c r="H114" s="1">
        <v>2</v>
      </c>
      <c r="I114" s="1" t="s">
        <v>23</v>
      </c>
      <c r="J114" s="17" t="str">
        <f t="shared" si="5"/>
        <v>control_no-enz_t10_rpt-2</v>
      </c>
      <c r="L114" s="1" t="s">
        <v>347</v>
      </c>
      <c r="M114" s="1" t="s">
        <v>31</v>
      </c>
      <c r="N114" s="1">
        <v>2</v>
      </c>
      <c r="O114" s="1" t="str">
        <f t="shared" si="12"/>
        <v>Y:G2</v>
      </c>
    </row>
    <row r="115" spans="3:15" x14ac:dyDescent="0.25">
      <c r="C115" s="7">
        <f t="shared" si="8"/>
        <v>2.2336805555555523</v>
      </c>
      <c r="D115" t="s">
        <v>113</v>
      </c>
      <c r="E115" t="s">
        <v>110</v>
      </c>
      <c r="F115" s="1" t="s">
        <v>32</v>
      </c>
      <c r="G115" s="1" t="s">
        <v>107</v>
      </c>
      <c r="H115" s="1">
        <v>3</v>
      </c>
      <c r="I115" s="1" t="s">
        <v>23</v>
      </c>
      <c r="J115" s="17" t="str">
        <f t="shared" si="5"/>
        <v>control_no-enz_t10_rpt-3</v>
      </c>
      <c r="L115" s="1" t="s">
        <v>347</v>
      </c>
      <c r="M115" s="1" t="s">
        <v>31</v>
      </c>
      <c r="N115" s="1">
        <v>3</v>
      </c>
      <c r="O115" s="1" t="str">
        <f t="shared" si="12"/>
        <v>Y:G3</v>
      </c>
    </row>
    <row r="116" spans="3:15" x14ac:dyDescent="0.25">
      <c r="C116" s="7">
        <f t="shared" si="8"/>
        <v>2.2479166666666632</v>
      </c>
      <c r="D116" t="s">
        <v>113</v>
      </c>
      <c r="E116" t="s">
        <v>111</v>
      </c>
      <c r="F116" s="1" t="s">
        <v>32</v>
      </c>
      <c r="G116" s="1" t="s">
        <v>107</v>
      </c>
      <c r="H116" s="1">
        <v>1</v>
      </c>
      <c r="I116" s="1" t="s">
        <v>23</v>
      </c>
      <c r="J116" s="17" t="str">
        <f t="shared" si="5"/>
        <v>control_co-factor_t10_rpt-1</v>
      </c>
      <c r="L116" s="1" t="s">
        <v>347</v>
      </c>
      <c r="M116" s="1" t="s">
        <v>74</v>
      </c>
      <c r="N116" s="1">
        <v>1</v>
      </c>
      <c r="O116" s="1" t="str">
        <f t="shared" si="12"/>
        <v>Y:H1</v>
      </c>
    </row>
    <row r="117" spans="3:15" x14ac:dyDescent="0.25">
      <c r="C117" s="7">
        <f t="shared" si="8"/>
        <v>2.2621527777777741</v>
      </c>
      <c r="D117" t="s">
        <v>113</v>
      </c>
      <c r="E117" t="s">
        <v>111</v>
      </c>
      <c r="F117" s="1" t="s">
        <v>32</v>
      </c>
      <c r="G117" s="1" t="s">
        <v>107</v>
      </c>
      <c r="H117" s="1">
        <v>2</v>
      </c>
      <c r="I117" s="1" t="s">
        <v>23</v>
      </c>
      <c r="J117" s="17" t="str">
        <f t="shared" si="5"/>
        <v>control_co-factor_t10_rpt-2</v>
      </c>
      <c r="L117" s="1" t="s">
        <v>347</v>
      </c>
      <c r="M117" s="1" t="s">
        <v>74</v>
      </c>
      <c r="N117" s="1">
        <v>2</v>
      </c>
      <c r="O117" s="1" t="str">
        <f t="shared" si="12"/>
        <v>Y:H2</v>
      </c>
    </row>
    <row r="118" spans="3:15" x14ac:dyDescent="0.25">
      <c r="C118" s="7">
        <f t="shared" si="8"/>
        <v>2.276388888888885</v>
      </c>
      <c r="D118" t="s">
        <v>113</v>
      </c>
      <c r="E118" t="s">
        <v>111</v>
      </c>
      <c r="F118" s="1" t="s">
        <v>32</v>
      </c>
      <c r="G118" s="1" t="s">
        <v>107</v>
      </c>
      <c r="H118" s="1">
        <v>3</v>
      </c>
      <c r="I118" s="1" t="s">
        <v>23</v>
      </c>
      <c r="J118" s="17" t="str">
        <f t="shared" si="5"/>
        <v>control_co-factor_t10_rpt-3</v>
      </c>
      <c r="L118" s="1" t="s">
        <v>347</v>
      </c>
      <c r="M118" s="1" t="s">
        <v>74</v>
      </c>
      <c r="N118" s="1">
        <v>3</v>
      </c>
      <c r="O118" s="1" t="str">
        <f t="shared" si="12"/>
        <v>Y:H3</v>
      </c>
    </row>
    <row r="119" spans="3:15" x14ac:dyDescent="0.25">
      <c r="C119" s="7">
        <f t="shared" si="8"/>
        <v>2.2906249999999959</v>
      </c>
      <c r="D119" t="s">
        <v>112</v>
      </c>
      <c r="E119" t="s">
        <v>114</v>
      </c>
      <c r="F119" s="1" t="s">
        <v>32</v>
      </c>
      <c r="G119" s="1" t="s">
        <v>107</v>
      </c>
      <c r="H119" s="1">
        <v>1</v>
      </c>
      <c r="I119" s="1" t="s">
        <v>23</v>
      </c>
      <c r="J119" s="17" t="str">
        <f t="shared" si="5"/>
        <v>CuATSM_10uM_t10_rpt-1</v>
      </c>
      <c r="L119" s="1" t="s">
        <v>347</v>
      </c>
      <c r="M119" s="1" t="s">
        <v>24</v>
      </c>
      <c r="N119" s="1">
        <v>2</v>
      </c>
      <c r="O119" s="1" t="str">
        <f t="shared" si="12"/>
        <v>Y:A2</v>
      </c>
    </row>
    <row r="120" spans="3:15" x14ac:dyDescent="0.25">
      <c r="C120" s="7">
        <f t="shared" si="8"/>
        <v>2.3048611111111068</v>
      </c>
      <c r="D120" t="s">
        <v>112</v>
      </c>
      <c r="E120" t="s">
        <v>114</v>
      </c>
      <c r="F120" s="1" t="s">
        <v>32</v>
      </c>
      <c r="G120" s="1" t="s">
        <v>107</v>
      </c>
      <c r="H120" s="1">
        <v>2</v>
      </c>
      <c r="I120" s="1" t="s">
        <v>23</v>
      </c>
      <c r="J120" s="17" t="str">
        <f t="shared" ref="J120:J183" si="13">CONCATENATE(D120,"_",E120,"_",F120,"_",G120,"-",H120)</f>
        <v>CuATSM_10uM_t10_rpt-2</v>
      </c>
      <c r="L120" s="1" t="s">
        <v>347</v>
      </c>
      <c r="M120" s="1" t="s">
        <v>26</v>
      </c>
      <c r="N120" s="1">
        <v>2</v>
      </c>
      <c r="O120" s="1" t="str">
        <f t="shared" si="12"/>
        <v>Y:B2</v>
      </c>
    </row>
    <row r="121" spans="3:15" x14ac:dyDescent="0.25">
      <c r="C121" s="7">
        <f t="shared" si="8"/>
        <v>2.3190972222222177</v>
      </c>
      <c r="D121" t="s">
        <v>112</v>
      </c>
      <c r="E121" t="s">
        <v>114</v>
      </c>
      <c r="F121" s="1" t="s">
        <v>32</v>
      </c>
      <c r="G121" s="1" t="s">
        <v>107</v>
      </c>
      <c r="H121" s="1">
        <v>3</v>
      </c>
      <c r="I121" s="1" t="s">
        <v>23</v>
      </c>
      <c r="J121" s="17" t="str">
        <f t="shared" si="13"/>
        <v>CuATSM_10uM_t10_rpt-3</v>
      </c>
      <c r="L121" s="1" t="s">
        <v>347</v>
      </c>
      <c r="M121" s="1" t="s">
        <v>27</v>
      </c>
      <c r="N121" s="1">
        <v>2</v>
      </c>
      <c r="O121" s="1" t="str">
        <f t="shared" si="12"/>
        <v>Y:C2</v>
      </c>
    </row>
    <row r="122" spans="3:15" x14ac:dyDescent="0.25">
      <c r="C122" s="7">
        <f t="shared" si="8"/>
        <v>2.3333333333333286</v>
      </c>
      <c r="D122" t="s">
        <v>112</v>
      </c>
      <c r="E122" t="s">
        <v>116</v>
      </c>
      <c r="F122" s="1" t="s">
        <v>32</v>
      </c>
      <c r="G122" s="1" t="s">
        <v>107</v>
      </c>
      <c r="H122" s="1">
        <v>1</v>
      </c>
      <c r="I122" s="1" t="s">
        <v>23</v>
      </c>
      <c r="J122" s="17" t="str">
        <f t="shared" si="13"/>
        <v>CuATSM_1uM_t10_rpt-1</v>
      </c>
      <c r="L122" s="1" t="s">
        <v>347</v>
      </c>
      <c r="M122" s="1" t="s">
        <v>28</v>
      </c>
      <c r="N122" s="1">
        <v>2</v>
      </c>
      <c r="O122" s="1" t="str">
        <f t="shared" si="12"/>
        <v>Y:D2</v>
      </c>
    </row>
    <row r="123" spans="3:15" x14ac:dyDescent="0.25">
      <c r="C123" s="7">
        <f t="shared" si="8"/>
        <v>2.3475694444444395</v>
      </c>
      <c r="D123" t="s">
        <v>112</v>
      </c>
      <c r="E123" t="s">
        <v>116</v>
      </c>
      <c r="F123" s="1" t="s">
        <v>32</v>
      </c>
      <c r="G123" s="1" t="s">
        <v>107</v>
      </c>
      <c r="H123" s="1">
        <v>2</v>
      </c>
      <c r="I123" s="1" t="s">
        <v>23</v>
      </c>
      <c r="J123" s="17" t="str">
        <f t="shared" si="13"/>
        <v>CuATSM_1uM_t10_rpt-2</v>
      </c>
      <c r="L123" s="1" t="s">
        <v>347</v>
      </c>
      <c r="M123" s="16" t="s">
        <v>29</v>
      </c>
      <c r="N123" s="16">
        <v>2</v>
      </c>
      <c r="O123" s="16" t="str">
        <f t="shared" si="12"/>
        <v>Y:E2</v>
      </c>
    </row>
    <row r="124" spans="3:15" x14ac:dyDescent="0.25">
      <c r="C124" s="7">
        <f t="shared" si="8"/>
        <v>2.3618055555555504</v>
      </c>
      <c r="D124" t="s">
        <v>112</v>
      </c>
      <c r="E124" t="s">
        <v>116</v>
      </c>
      <c r="F124" s="1" t="s">
        <v>32</v>
      </c>
      <c r="G124" s="1" t="s">
        <v>107</v>
      </c>
      <c r="H124" s="1">
        <v>3</v>
      </c>
      <c r="I124" s="1" t="s">
        <v>23</v>
      </c>
      <c r="J124" s="17" t="str">
        <f t="shared" si="13"/>
        <v>CuATSM_1uM_t10_rpt-3</v>
      </c>
      <c r="L124" s="1" t="s">
        <v>347</v>
      </c>
      <c r="M124" s="1" t="s">
        <v>30</v>
      </c>
      <c r="N124" s="1">
        <v>2</v>
      </c>
      <c r="O124" s="1" t="str">
        <f t="shared" si="12"/>
        <v>Y:F2</v>
      </c>
    </row>
    <row r="125" spans="3:15" x14ac:dyDescent="0.25">
      <c r="C125" s="7">
        <f t="shared" si="8"/>
        <v>2.3760416666666613</v>
      </c>
      <c r="D125" t="s">
        <v>115</v>
      </c>
      <c r="E125" t="s">
        <v>114</v>
      </c>
      <c r="F125" s="1" t="s">
        <v>32</v>
      </c>
      <c r="G125" s="1" t="s">
        <v>107</v>
      </c>
      <c r="H125" s="1">
        <v>1</v>
      </c>
      <c r="I125" s="1" t="s">
        <v>23</v>
      </c>
      <c r="J125" s="17" t="str">
        <f t="shared" si="13"/>
        <v>CuATSM-d6_10uM_t10_rpt-1</v>
      </c>
      <c r="L125" s="1" t="s">
        <v>347</v>
      </c>
      <c r="M125" s="1" t="s">
        <v>24</v>
      </c>
      <c r="N125" s="1">
        <v>3</v>
      </c>
      <c r="O125" s="1" t="str">
        <f t="shared" si="12"/>
        <v>Y:A3</v>
      </c>
    </row>
    <row r="126" spans="3:15" x14ac:dyDescent="0.25">
      <c r="C126" s="7">
        <f t="shared" si="8"/>
        <v>2.3902777777777722</v>
      </c>
      <c r="D126" t="s">
        <v>115</v>
      </c>
      <c r="E126" t="s">
        <v>114</v>
      </c>
      <c r="F126" s="1" t="s">
        <v>32</v>
      </c>
      <c r="G126" s="1" t="s">
        <v>107</v>
      </c>
      <c r="H126" s="1">
        <v>2</v>
      </c>
      <c r="I126" s="1" t="s">
        <v>23</v>
      </c>
      <c r="J126" s="17" t="str">
        <f t="shared" si="13"/>
        <v>CuATSM-d6_10uM_t10_rpt-2</v>
      </c>
      <c r="L126" s="1" t="s">
        <v>347</v>
      </c>
      <c r="M126" s="1" t="s">
        <v>26</v>
      </c>
      <c r="N126" s="1">
        <v>3</v>
      </c>
      <c r="O126" s="1" t="str">
        <f t="shared" si="12"/>
        <v>Y:B3</v>
      </c>
    </row>
    <row r="127" spans="3:15" x14ac:dyDescent="0.25">
      <c r="C127" s="7">
        <f t="shared" si="8"/>
        <v>2.4045138888888831</v>
      </c>
      <c r="D127" t="s">
        <v>115</v>
      </c>
      <c r="E127" t="s">
        <v>114</v>
      </c>
      <c r="F127" s="1" t="s">
        <v>32</v>
      </c>
      <c r="G127" s="1" t="s">
        <v>107</v>
      </c>
      <c r="H127" s="1">
        <v>3</v>
      </c>
      <c r="I127" s="1" t="s">
        <v>23</v>
      </c>
      <c r="J127" s="17" t="str">
        <f t="shared" si="13"/>
        <v>CuATSM-d6_10uM_t10_rpt-3</v>
      </c>
      <c r="L127" s="1" t="s">
        <v>347</v>
      </c>
      <c r="M127" s="1" t="s">
        <v>27</v>
      </c>
      <c r="N127" s="1">
        <v>3</v>
      </c>
      <c r="O127" s="1" t="str">
        <f t="shared" si="12"/>
        <v>Y:C3</v>
      </c>
    </row>
    <row r="128" spans="3:15" x14ac:dyDescent="0.25">
      <c r="C128" s="7">
        <f t="shared" si="8"/>
        <v>2.418749999999994</v>
      </c>
      <c r="D128" t="s">
        <v>115</v>
      </c>
      <c r="E128" t="s">
        <v>116</v>
      </c>
      <c r="F128" s="1" t="s">
        <v>32</v>
      </c>
      <c r="G128" s="1" t="s">
        <v>107</v>
      </c>
      <c r="H128" s="1">
        <v>1</v>
      </c>
      <c r="I128" s="1" t="s">
        <v>23</v>
      </c>
      <c r="J128" s="17" t="str">
        <f t="shared" si="13"/>
        <v>CuATSM-d6_1uM_t10_rpt-1</v>
      </c>
      <c r="L128" s="1" t="s">
        <v>347</v>
      </c>
      <c r="M128" s="1" t="s">
        <v>28</v>
      </c>
      <c r="N128" s="1">
        <v>3</v>
      </c>
      <c r="O128" s="1" t="str">
        <f t="shared" si="12"/>
        <v>Y:D3</v>
      </c>
    </row>
    <row r="129" spans="3:15" x14ac:dyDescent="0.25">
      <c r="C129" s="7">
        <f t="shared" si="8"/>
        <v>2.4329861111111049</v>
      </c>
      <c r="D129" t="s">
        <v>115</v>
      </c>
      <c r="E129" t="s">
        <v>116</v>
      </c>
      <c r="F129" s="1" t="s">
        <v>32</v>
      </c>
      <c r="G129" s="1" t="s">
        <v>107</v>
      </c>
      <c r="H129" s="1">
        <v>2</v>
      </c>
      <c r="I129" s="1" t="s">
        <v>23</v>
      </c>
      <c r="J129" s="17" t="str">
        <f t="shared" si="13"/>
        <v>CuATSM-d6_1uM_t10_rpt-2</v>
      </c>
      <c r="L129" s="1" t="s">
        <v>347</v>
      </c>
      <c r="M129" s="1" t="s">
        <v>29</v>
      </c>
      <c r="N129" s="1">
        <v>3</v>
      </c>
      <c r="O129" s="1" t="str">
        <f t="shared" si="12"/>
        <v>Y:E3</v>
      </c>
    </row>
    <row r="130" spans="3:15" x14ac:dyDescent="0.25">
      <c r="C130" s="7">
        <f t="shared" si="8"/>
        <v>2.4472222222222157</v>
      </c>
      <c r="D130" t="s">
        <v>115</v>
      </c>
      <c r="E130" t="s">
        <v>116</v>
      </c>
      <c r="F130" s="1" t="s">
        <v>32</v>
      </c>
      <c r="G130" s="1" t="s">
        <v>107</v>
      </c>
      <c r="H130" s="1">
        <v>3</v>
      </c>
      <c r="I130" s="1" t="s">
        <v>23</v>
      </c>
      <c r="J130" s="17" t="str">
        <f t="shared" si="13"/>
        <v>CuATSM-d6_1uM_t10_rpt-3</v>
      </c>
      <c r="L130" s="1" t="s">
        <v>347</v>
      </c>
      <c r="M130" s="1" t="s">
        <v>30</v>
      </c>
      <c r="N130" s="1">
        <v>3</v>
      </c>
      <c r="O130" s="1" t="str">
        <f t="shared" si="12"/>
        <v>Y:F3</v>
      </c>
    </row>
    <row r="131" spans="3:15" x14ac:dyDescent="0.25">
      <c r="C131" s="7">
        <f t="shared" si="8"/>
        <v>2.4614583333333266</v>
      </c>
      <c r="D131" s="12" t="s">
        <v>105</v>
      </c>
      <c r="E131" s="14" t="s">
        <v>35</v>
      </c>
      <c r="F131" s="18" t="s">
        <v>36</v>
      </c>
      <c r="G131" s="18" t="s">
        <v>107</v>
      </c>
      <c r="H131" s="18">
        <v>7</v>
      </c>
      <c r="I131" s="18" t="s">
        <v>22</v>
      </c>
      <c r="J131" s="19" t="str">
        <f t="shared" si="13"/>
        <v>solvent_blank_water_rpt-7</v>
      </c>
      <c r="K131" s="20"/>
      <c r="L131" s="18" t="s">
        <v>31</v>
      </c>
      <c r="M131" s="18" t="s">
        <v>24</v>
      </c>
      <c r="N131" s="18">
        <v>9</v>
      </c>
      <c r="O131" s="18" t="str">
        <f>CONCATENATE(L131,":",M131,N131)</f>
        <v>G:A9</v>
      </c>
    </row>
    <row r="132" spans="3:15" x14ac:dyDescent="0.25">
      <c r="C132" s="7">
        <f t="shared" si="8"/>
        <v>2.4756944444444375</v>
      </c>
      <c r="D132" t="s">
        <v>113</v>
      </c>
      <c r="E132" t="s">
        <v>106</v>
      </c>
      <c r="F132" s="1" t="s">
        <v>33</v>
      </c>
      <c r="G132" s="1" t="s">
        <v>107</v>
      </c>
      <c r="H132" s="1">
        <v>1</v>
      </c>
      <c r="I132" s="1" t="s">
        <v>23</v>
      </c>
      <c r="J132" s="17" t="str">
        <f t="shared" si="13"/>
        <v>control_enzyme_t30_rpt-1</v>
      </c>
      <c r="L132" s="1" t="s">
        <v>347</v>
      </c>
      <c r="M132" s="1" t="s">
        <v>24</v>
      </c>
      <c r="N132" s="1">
        <f t="shared" ref="N132:N155" si="14">N107+3</f>
        <v>4</v>
      </c>
      <c r="O132" s="1" t="str">
        <f t="shared" ref="O132:O155" si="15">CONCATENATE(L132,":",M132,N132)</f>
        <v>Y:A4</v>
      </c>
    </row>
    <row r="133" spans="3:15" x14ac:dyDescent="0.25">
      <c r="C133" s="7">
        <f t="shared" si="8"/>
        <v>2.4899305555555484</v>
      </c>
      <c r="D133" t="s">
        <v>113</v>
      </c>
      <c r="E133" t="s">
        <v>106</v>
      </c>
      <c r="F133" s="1" t="s">
        <v>33</v>
      </c>
      <c r="G133" s="1" t="s">
        <v>107</v>
      </c>
      <c r="H133" s="1">
        <v>2</v>
      </c>
      <c r="I133" s="1" t="s">
        <v>23</v>
      </c>
      <c r="J133" s="17" t="str">
        <f t="shared" si="13"/>
        <v>control_enzyme_t30_rpt-2</v>
      </c>
      <c r="L133" s="1" t="s">
        <v>347</v>
      </c>
      <c r="M133" s="1" t="s">
        <v>26</v>
      </c>
      <c r="N133" s="1">
        <f t="shared" si="14"/>
        <v>4</v>
      </c>
      <c r="O133" s="1" t="str">
        <f t="shared" si="15"/>
        <v>Y:B4</v>
      </c>
    </row>
    <row r="134" spans="3:15" x14ac:dyDescent="0.25">
      <c r="C134" s="7">
        <f t="shared" ref="C134:C183" si="16">C133+($A$6/1440)</f>
        <v>2.5041666666666593</v>
      </c>
      <c r="D134" t="s">
        <v>113</v>
      </c>
      <c r="E134" t="s">
        <v>106</v>
      </c>
      <c r="F134" s="1" t="s">
        <v>33</v>
      </c>
      <c r="G134" s="1" t="s">
        <v>107</v>
      </c>
      <c r="H134" s="1">
        <v>3</v>
      </c>
      <c r="I134" s="1" t="s">
        <v>23</v>
      </c>
      <c r="J134" s="17" t="str">
        <f t="shared" si="13"/>
        <v>control_enzyme_t30_rpt-3</v>
      </c>
      <c r="L134" s="1" t="s">
        <v>347</v>
      </c>
      <c r="M134" s="1" t="s">
        <v>27</v>
      </c>
      <c r="N134" s="1">
        <f t="shared" si="14"/>
        <v>4</v>
      </c>
      <c r="O134" s="1" t="str">
        <f t="shared" si="15"/>
        <v>Y:C4</v>
      </c>
    </row>
    <row r="135" spans="3:15" x14ac:dyDescent="0.25">
      <c r="C135" s="7">
        <f t="shared" si="16"/>
        <v>2.5184027777777702</v>
      </c>
      <c r="D135" t="s">
        <v>113</v>
      </c>
      <c r="E135" t="s">
        <v>109</v>
      </c>
      <c r="F135" s="1" t="s">
        <v>33</v>
      </c>
      <c r="G135" s="1" t="s">
        <v>107</v>
      </c>
      <c r="H135" s="1">
        <v>1</v>
      </c>
      <c r="I135" s="1" t="s">
        <v>23</v>
      </c>
      <c r="J135" s="17" t="str">
        <f t="shared" si="13"/>
        <v>control_inactive_t30_rpt-1</v>
      </c>
      <c r="L135" s="1" t="s">
        <v>347</v>
      </c>
      <c r="M135" s="1" t="s">
        <v>28</v>
      </c>
      <c r="N135" s="1">
        <f t="shared" si="14"/>
        <v>4</v>
      </c>
      <c r="O135" s="1" t="str">
        <f t="shared" si="15"/>
        <v>Y:D4</v>
      </c>
    </row>
    <row r="136" spans="3:15" x14ac:dyDescent="0.25">
      <c r="C136" s="7">
        <f t="shared" si="16"/>
        <v>2.5326388888888811</v>
      </c>
      <c r="D136" t="s">
        <v>113</v>
      </c>
      <c r="E136" t="s">
        <v>109</v>
      </c>
      <c r="F136" s="1" t="s">
        <v>33</v>
      </c>
      <c r="G136" s="1" t="s">
        <v>107</v>
      </c>
      <c r="H136" s="1">
        <v>2</v>
      </c>
      <c r="I136" s="1" t="s">
        <v>23</v>
      </c>
      <c r="J136" s="17" t="str">
        <f t="shared" si="13"/>
        <v>control_inactive_t30_rpt-2</v>
      </c>
      <c r="L136" s="1" t="s">
        <v>347</v>
      </c>
      <c r="M136" s="1" t="s">
        <v>29</v>
      </c>
      <c r="N136" s="1">
        <f t="shared" si="14"/>
        <v>4</v>
      </c>
      <c r="O136" s="1" t="str">
        <f t="shared" si="15"/>
        <v>Y:E4</v>
      </c>
    </row>
    <row r="137" spans="3:15" x14ac:dyDescent="0.25">
      <c r="C137" s="7">
        <f t="shared" si="16"/>
        <v>2.546874999999992</v>
      </c>
      <c r="D137" t="s">
        <v>113</v>
      </c>
      <c r="E137" t="s">
        <v>109</v>
      </c>
      <c r="F137" s="1" t="s">
        <v>33</v>
      </c>
      <c r="G137" s="1" t="s">
        <v>107</v>
      </c>
      <c r="H137" s="1">
        <v>3</v>
      </c>
      <c r="I137" s="1" t="s">
        <v>23</v>
      </c>
      <c r="J137" s="17" t="str">
        <f t="shared" si="13"/>
        <v>control_inactive_t30_rpt-3</v>
      </c>
      <c r="L137" s="1" t="s">
        <v>347</v>
      </c>
      <c r="M137" s="1" t="s">
        <v>30</v>
      </c>
      <c r="N137" s="1">
        <f t="shared" si="14"/>
        <v>4</v>
      </c>
      <c r="O137" s="1" t="str">
        <f t="shared" si="15"/>
        <v>Y:F4</v>
      </c>
    </row>
    <row r="138" spans="3:15" x14ac:dyDescent="0.25">
      <c r="C138" s="7">
        <f t="shared" si="16"/>
        <v>2.5611111111111029</v>
      </c>
      <c r="D138" t="s">
        <v>113</v>
      </c>
      <c r="E138" t="s">
        <v>110</v>
      </c>
      <c r="F138" s="1" t="s">
        <v>33</v>
      </c>
      <c r="G138" s="1" t="s">
        <v>107</v>
      </c>
      <c r="H138" s="1">
        <v>1</v>
      </c>
      <c r="I138" s="1" t="s">
        <v>23</v>
      </c>
      <c r="J138" s="17" t="str">
        <f t="shared" si="13"/>
        <v>control_no-enz_t30_rpt-1</v>
      </c>
      <c r="L138" s="1" t="s">
        <v>347</v>
      </c>
      <c r="M138" s="1" t="s">
        <v>31</v>
      </c>
      <c r="N138" s="1">
        <f t="shared" si="14"/>
        <v>4</v>
      </c>
      <c r="O138" s="1" t="str">
        <f t="shared" si="15"/>
        <v>Y:G4</v>
      </c>
    </row>
    <row r="139" spans="3:15" x14ac:dyDescent="0.25">
      <c r="C139" s="7">
        <f t="shared" si="16"/>
        <v>2.5753472222222138</v>
      </c>
      <c r="D139" t="s">
        <v>113</v>
      </c>
      <c r="E139" t="s">
        <v>110</v>
      </c>
      <c r="F139" s="1" t="s">
        <v>33</v>
      </c>
      <c r="G139" s="1" t="s">
        <v>107</v>
      </c>
      <c r="H139" s="1">
        <v>2</v>
      </c>
      <c r="I139" s="1" t="s">
        <v>23</v>
      </c>
      <c r="J139" s="17" t="str">
        <f t="shared" si="13"/>
        <v>control_no-enz_t30_rpt-2</v>
      </c>
      <c r="L139" s="1" t="s">
        <v>347</v>
      </c>
      <c r="M139" s="1" t="s">
        <v>31</v>
      </c>
      <c r="N139" s="1">
        <f t="shared" si="14"/>
        <v>5</v>
      </c>
      <c r="O139" s="1" t="str">
        <f t="shared" si="15"/>
        <v>Y:G5</v>
      </c>
    </row>
    <row r="140" spans="3:15" x14ac:dyDescent="0.25">
      <c r="C140" s="7">
        <f t="shared" si="16"/>
        <v>2.5895833333333247</v>
      </c>
      <c r="D140" t="s">
        <v>113</v>
      </c>
      <c r="E140" t="s">
        <v>110</v>
      </c>
      <c r="F140" s="1" t="s">
        <v>33</v>
      </c>
      <c r="G140" s="1" t="s">
        <v>107</v>
      </c>
      <c r="H140" s="1">
        <v>3</v>
      </c>
      <c r="I140" s="1" t="s">
        <v>23</v>
      </c>
      <c r="J140" s="17" t="str">
        <f t="shared" si="13"/>
        <v>control_no-enz_t30_rpt-3</v>
      </c>
      <c r="L140" s="1" t="s">
        <v>347</v>
      </c>
      <c r="M140" s="1" t="s">
        <v>31</v>
      </c>
      <c r="N140" s="1">
        <f t="shared" si="14"/>
        <v>6</v>
      </c>
      <c r="O140" s="1" t="str">
        <f t="shared" si="15"/>
        <v>Y:G6</v>
      </c>
    </row>
    <row r="141" spans="3:15" x14ac:dyDescent="0.25">
      <c r="C141" s="7">
        <f t="shared" si="16"/>
        <v>2.6038194444444356</v>
      </c>
      <c r="D141" t="s">
        <v>113</v>
      </c>
      <c r="E141" t="s">
        <v>111</v>
      </c>
      <c r="F141" s="1" t="s">
        <v>33</v>
      </c>
      <c r="G141" s="1" t="s">
        <v>107</v>
      </c>
      <c r="H141" s="1">
        <v>1</v>
      </c>
      <c r="I141" s="1" t="s">
        <v>23</v>
      </c>
      <c r="J141" s="17" t="str">
        <f t="shared" si="13"/>
        <v>control_co-factor_t30_rpt-1</v>
      </c>
      <c r="L141" s="1" t="s">
        <v>347</v>
      </c>
      <c r="M141" s="1" t="s">
        <v>74</v>
      </c>
      <c r="N141" s="1">
        <f t="shared" si="14"/>
        <v>4</v>
      </c>
      <c r="O141" s="1" t="str">
        <f t="shared" si="15"/>
        <v>Y:H4</v>
      </c>
    </row>
    <row r="142" spans="3:15" x14ac:dyDescent="0.25">
      <c r="C142" s="7">
        <f t="shared" si="16"/>
        <v>2.6180555555555465</v>
      </c>
      <c r="D142" t="s">
        <v>113</v>
      </c>
      <c r="E142" t="s">
        <v>111</v>
      </c>
      <c r="F142" s="1" t="s">
        <v>33</v>
      </c>
      <c r="G142" s="1" t="s">
        <v>107</v>
      </c>
      <c r="H142" s="1">
        <v>2</v>
      </c>
      <c r="I142" s="1" t="s">
        <v>23</v>
      </c>
      <c r="J142" s="17" t="str">
        <f t="shared" si="13"/>
        <v>control_co-factor_t30_rpt-2</v>
      </c>
      <c r="L142" s="1" t="s">
        <v>347</v>
      </c>
      <c r="M142" s="1" t="s">
        <v>74</v>
      </c>
      <c r="N142" s="1">
        <f t="shared" si="14"/>
        <v>5</v>
      </c>
      <c r="O142" s="1" t="str">
        <f t="shared" si="15"/>
        <v>Y:H5</v>
      </c>
    </row>
    <row r="143" spans="3:15" x14ac:dyDescent="0.25">
      <c r="C143" s="7">
        <f t="shared" si="16"/>
        <v>2.6322916666666574</v>
      </c>
      <c r="D143" t="s">
        <v>113</v>
      </c>
      <c r="E143" t="s">
        <v>111</v>
      </c>
      <c r="F143" s="1" t="s">
        <v>33</v>
      </c>
      <c r="G143" s="1" t="s">
        <v>107</v>
      </c>
      <c r="H143" s="1">
        <v>3</v>
      </c>
      <c r="I143" s="1" t="s">
        <v>23</v>
      </c>
      <c r="J143" s="17" t="str">
        <f t="shared" si="13"/>
        <v>control_co-factor_t30_rpt-3</v>
      </c>
      <c r="L143" s="1" t="s">
        <v>347</v>
      </c>
      <c r="M143" s="1" t="s">
        <v>74</v>
      </c>
      <c r="N143" s="1">
        <f t="shared" si="14"/>
        <v>6</v>
      </c>
      <c r="O143" s="1" t="str">
        <f t="shared" si="15"/>
        <v>Y:H6</v>
      </c>
    </row>
    <row r="144" spans="3:15" x14ac:dyDescent="0.25">
      <c r="C144" s="7">
        <f t="shared" si="16"/>
        <v>2.6465277777777683</v>
      </c>
      <c r="D144" t="s">
        <v>112</v>
      </c>
      <c r="E144" t="s">
        <v>114</v>
      </c>
      <c r="F144" s="1" t="s">
        <v>33</v>
      </c>
      <c r="G144" s="1" t="s">
        <v>107</v>
      </c>
      <c r="H144" s="1">
        <v>1</v>
      </c>
      <c r="I144" s="1" t="s">
        <v>23</v>
      </c>
      <c r="J144" s="17" t="str">
        <f t="shared" si="13"/>
        <v>CuATSM_10uM_t30_rpt-1</v>
      </c>
      <c r="L144" s="1" t="s">
        <v>347</v>
      </c>
      <c r="M144" s="1" t="s">
        <v>24</v>
      </c>
      <c r="N144" s="1">
        <f t="shared" si="14"/>
        <v>5</v>
      </c>
      <c r="O144" s="1" t="str">
        <f t="shared" si="15"/>
        <v>Y:A5</v>
      </c>
    </row>
    <row r="145" spans="3:15" x14ac:dyDescent="0.25">
      <c r="C145" s="7">
        <f t="shared" si="16"/>
        <v>2.6607638888888792</v>
      </c>
      <c r="D145" t="s">
        <v>112</v>
      </c>
      <c r="E145" t="s">
        <v>114</v>
      </c>
      <c r="F145" s="1" t="s">
        <v>33</v>
      </c>
      <c r="G145" s="1" t="s">
        <v>107</v>
      </c>
      <c r="H145" s="1">
        <v>2</v>
      </c>
      <c r="I145" s="1" t="s">
        <v>23</v>
      </c>
      <c r="J145" s="17" t="str">
        <f t="shared" si="13"/>
        <v>CuATSM_10uM_t30_rpt-2</v>
      </c>
      <c r="L145" s="1" t="s">
        <v>347</v>
      </c>
      <c r="M145" s="1" t="s">
        <v>26</v>
      </c>
      <c r="N145" s="1">
        <f t="shared" si="14"/>
        <v>5</v>
      </c>
      <c r="O145" s="1" t="str">
        <f t="shared" si="15"/>
        <v>Y:B5</v>
      </c>
    </row>
    <row r="146" spans="3:15" x14ac:dyDescent="0.25">
      <c r="C146" s="7">
        <f t="shared" si="16"/>
        <v>2.6749999999999901</v>
      </c>
      <c r="D146" t="s">
        <v>112</v>
      </c>
      <c r="E146" t="s">
        <v>114</v>
      </c>
      <c r="F146" s="1" t="s">
        <v>33</v>
      </c>
      <c r="G146" s="1" t="s">
        <v>107</v>
      </c>
      <c r="H146" s="1">
        <v>3</v>
      </c>
      <c r="I146" s="1" t="s">
        <v>23</v>
      </c>
      <c r="J146" s="17" t="str">
        <f t="shared" si="13"/>
        <v>CuATSM_10uM_t30_rpt-3</v>
      </c>
      <c r="L146" s="1" t="s">
        <v>347</v>
      </c>
      <c r="M146" s="1" t="s">
        <v>27</v>
      </c>
      <c r="N146" s="1">
        <f t="shared" si="14"/>
        <v>5</v>
      </c>
      <c r="O146" s="1" t="str">
        <f t="shared" si="15"/>
        <v>Y:C5</v>
      </c>
    </row>
    <row r="147" spans="3:15" x14ac:dyDescent="0.25">
      <c r="C147" s="7">
        <f t="shared" si="16"/>
        <v>2.6892361111111009</v>
      </c>
      <c r="D147" t="s">
        <v>112</v>
      </c>
      <c r="E147" t="s">
        <v>116</v>
      </c>
      <c r="F147" s="1" t="s">
        <v>33</v>
      </c>
      <c r="G147" s="1" t="s">
        <v>107</v>
      </c>
      <c r="H147" s="1">
        <v>1</v>
      </c>
      <c r="I147" s="1" t="s">
        <v>23</v>
      </c>
      <c r="J147" s="17" t="str">
        <f t="shared" si="13"/>
        <v>CuATSM_1uM_t30_rpt-1</v>
      </c>
      <c r="L147" s="1" t="s">
        <v>347</v>
      </c>
      <c r="M147" s="1" t="s">
        <v>28</v>
      </c>
      <c r="N147" s="1">
        <f t="shared" si="14"/>
        <v>5</v>
      </c>
      <c r="O147" s="1" t="str">
        <f t="shared" si="15"/>
        <v>Y:D5</v>
      </c>
    </row>
    <row r="148" spans="3:15" x14ac:dyDescent="0.25">
      <c r="C148" s="7">
        <f t="shared" si="16"/>
        <v>2.7034722222222118</v>
      </c>
      <c r="D148" t="s">
        <v>112</v>
      </c>
      <c r="E148" t="s">
        <v>116</v>
      </c>
      <c r="F148" s="1" t="s">
        <v>33</v>
      </c>
      <c r="G148" s="1" t="s">
        <v>107</v>
      </c>
      <c r="H148" s="1">
        <v>2</v>
      </c>
      <c r="I148" s="1" t="s">
        <v>23</v>
      </c>
      <c r="J148" s="17" t="str">
        <f t="shared" si="13"/>
        <v>CuATSM_1uM_t30_rpt-2</v>
      </c>
      <c r="L148" s="1" t="s">
        <v>347</v>
      </c>
      <c r="M148" s="16" t="s">
        <v>29</v>
      </c>
      <c r="N148" s="1">
        <f t="shared" si="14"/>
        <v>5</v>
      </c>
      <c r="O148" s="16" t="str">
        <f t="shared" si="15"/>
        <v>Y:E5</v>
      </c>
    </row>
    <row r="149" spans="3:15" x14ac:dyDescent="0.25">
      <c r="C149" s="7">
        <f t="shared" si="16"/>
        <v>2.7177083333333227</v>
      </c>
      <c r="D149" t="s">
        <v>112</v>
      </c>
      <c r="E149" t="s">
        <v>116</v>
      </c>
      <c r="F149" s="1" t="s">
        <v>33</v>
      </c>
      <c r="G149" s="1" t="s">
        <v>107</v>
      </c>
      <c r="H149" s="1">
        <v>3</v>
      </c>
      <c r="I149" s="1" t="s">
        <v>23</v>
      </c>
      <c r="J149" s="17" t="str">
        <f t="shared" si="13"/>
        <v>CuATSM_1uM_t30_rpt-3</v>
      </c>
      <c r="L149" s="1" t="s">
        <v>347</v>
      </c>
      <c r="M149" s="1" t="s">
        <v>30</v>
      </c>
      <c r="N149" s="1">
        <f t="shared" si="14"/>
        <v>5</v>
      </c>
      <c r="O149" s="1" t="str">
        <f t="shared" si="15"/>
        <v>Y:F5</v>
      </c>
    </row>
    <row r="150" spans="3:15" x14ac:dyDescent="0.25">
      <c r="C150" s="7">
        <f t="shared" si="16"/>
        <v>2.7319444444444336</v>
      </c>
      <c r="D150" t="s">
        <v>115</v>
      </c>
      <c r="E150" t="s">
        <v>114</v>
      </c>
      <c r="F150" s="1" t="s">
        <v>33</v>
      </c>
      <c r="G150" s="1" t="s">
        <v>107</v>
      </c>
      <c r="H150" s="1">
        <v>1</v>
      </c>
      <c r="I150" s="1" t="s">
        <v>23</v>
      </c>
      <c r="J150" s="17" t="str">
        <f t="shared" si="13"/>
        <v>CuATSM-d6_10uM_t30_rpt-1</v>
      </c>
      <c r="L150" s="1" t="s">
        <v>347</v>
      </c>
      <c r="M150" s="1" t="s">
        <v>24</v>
      </c>
      <c r="N150" s="1">
        <f t="shared" si="14"/>
        <v>6</v>
      </c>
      <c r="O150" s="1" t="str">
        <f t="shared" si="15"/>
        <v>Y:A6</v>
      </c>
    </row>
    <row r="151" spans="3:15" x14ac:dyDescent="0.25">
      <c r="C151" s="7">
        <f t="shared" si="16"/>
        <v>2.7461805555555445</v>
      </c>
      <c r="D151" t="s">
        <v>115</v>
      </c>
      <c r="E151" t="s">
        <v>114</v>
      </c>
      <c r="F151" s="1" t="s">
        <v>33</v>
      </c>
      <c r="G151" s="1" t="s">
        <v>107</v>
      </c>
      <c r="H151" s="1">
        <v>2</v>
      </c>
      <c r="I151" s="1" t="s">
        <v>23</v>
      </c>
      <c r="J151" s="17" t="str">
        <f t="shared" si="13"/>
        <v>CuATSM-d6_10uM_t30_rpt-2</v>
      </c>
      <c r="L151" s="1" t="s">
        <v>347</v>
      </c>
      <c r="M151" s="1" t="s">
        <v>26</v>
      </c>
      <c r="N151" s="1">
        <f t="shared" si="14"/>
        <v>6</v>
      </c>
      <c r="O151" s="1" t="str">
        <f t="shared" si="15"/>
        <v>Y:B6</v>
      </c>
    </row>
    <row r="152" spans="3:15" x14ac:dyDescent="0.25">
      <c r="C152" s="7">
        <f t="shared" si="16"/>
        <v>2.7604166666666554</v>
      </c>
      <c r="D152" t="s">
        <v>115</v>
      </c>
      <c r="E152" t="s">
        <v>114</v>
      </c>
      <c r="F152" s="1" t="s">
        <v>33</v>
      </c>
      <c r="G152" s="1" t="s">
        <v>107</v>
      </c>
      <c r="H152" s="1">
        <v>3</v>
      </c>
      <c r="I152" s="1" t="s">
        <v>23</v>
      </c>
      <c r="J152" s="17" t="str">
        <f t="shared" si="13"/>
        <v>CuATSM-d6_10uM_t30_rpt-3</v>
      </c>
      <c r="L152" s="1" t="s">
        <v>347</v>
      </c>
      <c r="M152" s="1" t="s">
        <v>27</v>
      </c>
      <c r="N152" s="1">
        <f t="shared" si="14"/>
        <v>6</v>
      </c>
      <c r="O152" s="1" t="str">
        <f t="shared" si="15"/>
        <v>Y:C6</v>
      </c>
    </row>
    <row r="153" spans="3:15" x14ac:dyDescent="0.25">
      <c r="C153" s="7">
        <f t="shared" si="16"/>
        <v>2.7746527777777663</v>
      </c>
      <c r="D153" t="s">
        <v>115</v>
      </c>
      <c r="E153" t="s">
        <v>116</v>
      </c>
      <c r="F153" s="1" t="s">
        <v>33</v>
      </c>
      <c r="G153" s="1" t="s">
        <v>107</v>
      </c>
      <c r="H153" s="1">
        <v>1</v>
      </c>
      <c r="I153" s="1" t="s">
        <v>23</v>
      </c>
      <c r="J153" s="17" t="str">
        <f t="shared" si="13"/>
        <v>CuATSM-d6_1uM_t30_rpt-1</v>
      </c>
      <c r="L153" s="1" t="s">
        <v>347</v>
      </c>
      <c r="M153" s="1" t="s">
        <v>28</v>
      </c>
      <c r="N153" s="1">
        <f t="shared" si="14"/>
        <v>6</v>
      </c>
      <c r="O153" s="1" t="str">
        <f t="shared" si="15"/>
        <v>Y:D6</v>
      </c>
    </row>
    <row r="154" spans="3:15" x14ac:dyDescent="0.25">
      <c r="C154" s="7">
        <f t="shared" si="16"/>
        <v>2.7888888888888772</v>
      </c>
      <c r="D154" t="s">
        <v>115</v>
      </c>
      <c r="E154" t="s">
        <v>116</v>
      </c>
      <c r="F154" s="1" t="s">
        <v>33</v>
      </c>
      <c r="G154" s="1" t="s">
        <v>107</v>
      </c>
      <c r="H154" s="1">
        <v>2</v>
      </c>
      <c r="I154" s="1" t="s">
        <v>23</v>
      </c>
      <c r="J154" s="17" t="str">
        <f t="shared" si="13"/>
        <v>CuATSM-d6_1uM_t30_rpt-2</v>
      </c>
      <c r="L154" s="1" t="s">
        <v>347</v>
      </c>
      <c r="M154" s="1" t="s">
        <v>29</v>
      </c>
      <c r="N154" s="1">
        <f t="shared" si="14"/>
        <v>6</v>
      </c>
      <c r="O154" s="1" t="str">
        <f t="shared" si="15"/>
        <v>Y:E6</v>
      </c>
    </row>
    <row r="155" spans="3:15" x14ac:dyDescent="0.25">
      <c r="C155" s="7">
        <f t="shared" si="16"/>
        <v>2.8031249999999881</v>
      </c>
      <c r="D155" t="s">
        <v>115</v>
      </c>
      <c r="E155" t="s">
        <v>116</v>
      </c>
      <c r="F155" s="1" t="s">
        <v>33</v>
      </c>
      <c r="G155" s="1" t="s">
        <v>107</v>
      </c>
      <c r="H155" s="1">
        <v>3</v>
      </c>
      <c r="I155" s="1" t="s">
        <v>23</v>
      </c>
      <c r="J155" s="17" t="str">
        <f t="shared" si="13"/>
        <v>CuATSM-d6_1uM_t30_rpt-3</v>
      </c>
      <c r="L155" s="1" t="s">
        <v>347</v>
      </c>
      <c r="M155" s="1" t="s">
        <v>30</v>
      </c>
      <c r="N155" s="1">
        <f t="shared" si="14"/>
        <v>6</v>
      </c>
      <c r="O155" s="1" t="str">
        <f t="shared" si="15"/>
        <v>Y:F6</v>
      </c>
    </row>
    <row r="156" spans="3:15" x14ac:dyDescent="0.25">
      <c r="C156" s="7">
        <f t="shared" si="16"/>
        <v>2.817361111111099</v>
      </c>
      <c r="D156" s="12" t="s">
        <v>105</v>
      </c>
      <c r="E156" s="14" t="s">
        <v>35</v>
      </c>
      <c r="F156" s="18" t="s">
        <v>36</v>
      </c>
      <c r="G156" s="18" t="s">
        <v>107</v>
      </c>
      <c r="H156" s="18">
        <v>8</v>
      </c>
      <c r="I156" s="18" t="s">
        <v>22</v>
      </c>
      <c r="J156" s="19" t="str">
        <f t="shared" si="13"/>
        <v>solvent_blank_water_rpt-8</v>
      </c>
      <c r="K156" s="20"/>
      <c r="L156" s="18" t="s">
        <v>31</v>
      </c>
      <c r="M156" s="18" t="s">
        <v>24</v>
      </c>
      <c r="N156" s="18">
        <v>9</v>
      </c>
      <c r="O156" s="18" t="str">
        <f>CONCATENATE(L156,":",M156,N156)</f>
        <v>G:A9</v>
      </c>
    </row>
    <row r="157" spans="3:15" x14ac:dyDescent="0.25">
      <c r="C157" s="7">
        <f t="shared" si="16"/>
        <v>2.8315972222222099</v>
      </c>
      <c r="D157" t="s">
        <v>113</v>
      </c>
      <c r="E157" t="s">
        <v>106</v>
      </c>
      <c r="F157" s="1" t="s">
        <v>34</v>
      </c>
      <c r="G157" s="1" t="s">
        <v>107</v>
      </c>
      <c r="H157" s="1">
        <v>1</v>
      </c>
      <c r="I157" s="1" t="s">
        <v>23</v>
      </c>
      <c r="J157" s="17" t="str">
        <f t="shared" si="13"/>
        <v>control_enzyme_t60_rpt-1</v>
      </c>
      <c r="L157" s="1" t="s">
        <v>347</v>
      </c>
      <c r="M157" s="1" t="s">
        <v>24</v>
      </c>
      <c r="N157" s="1">
        <f t="shared" ref="N157:N180" si="17">N132+3</f>
        <v>7</v>
      </c>
      <c r="O157" s="1" t="str">
        <f t="shared" ref="O157:O180" si="18">CONCATENATE(L157,":",M157,N157)</f>
        <v>Y:A7</v>
      </c>
    </row>
    <row r="158" spans="3:15" x14ac:dyDescent="0.25">
      <c r="C158" s="7">
        <f t="shared" si="16"/>
        <v>2.8458333333333208</v>
      </c>
      <c r="D158" t="s">
        <v>113</v>
      </c>
      <c r="E158" t="s">
        <v>106</v>
      </c>
      <c r="F158" s="1" t="s">
        <v>34</v>
      </c>
      <c r="G158" s="1" t="s">
        <v>107</v>
      </c>
      <c r="H158" s="1">
        <v>2</v>
      </c>
      <c r="I158" s="1" t="s">
        <v>23</v>
      </c>
      <c r="J158" s="17" t="str">
        <f t="shared" si="13"/>
        <v>control_enzyme_t60_rpt-2</v>
      </c>
      <c r="L158" s="1" t="s">
        <v>347</v>
      </c>
      <c r="M158" s="1" t="s">
        <v>26</v>
      </c>
      <c r="N158" s="1">
        <f t="shared" si="17"/>
        <v>7</v>
      </c>
      <c r="O158" s="1" t="str">
        <f t="shared" si="18"/>
        <v>Y:B7</v>
      </c>
    </row>
    <row r="159" spans="3:15" x14ac:dyDescent="0.25">
      <c r="C159" s="7">
        <f t="shared" si="16"/>
        <v>2.8600694444444317</v>
      </c>
      <c r="D159" t="s">
        <v>113</v>
      </c>
      <c r="E159" t="s">
        <v>106</v>
      </c>
      <c r="F159" s="1" t="s">
        <v>34</v>
      </c>
      <c r="G159" s="1" t="s">
        <v>107</v>
      </c>
      <c r="H159" s="1">
        <v>3</v>
      </c>
      <c r="I159" s="1" t="s">
        <v>23</v>
      </c>
      <c r="J159" s="17" t="str">
        <f t="shared" si="13"/>
        <v>control_enzyme_t60_rpt-3</v>
      </c>
      <c r="L159" s="1" t="s">
        <v>347</v>
      </c>
      <c r="M159" s="1" t="s">
        <v>27</v>
      </c>
      <c r="N159" s="1">
        <f t="shared" si="17"/>
        <v>7</v>
      </c>
      <c r="O159" s="1" t="str">
        <f t="shared" si="18"/>
        <v>Y:C7</v>
      </c>
    </row>
    <row r="160" spans="3:15" x14ac:dyDescent="0.25">
      <c r="C160" s="7">
        <f t="shared" si="16"/>
        <v>2.8743055555555426</v>
      </c>
      <c r="D160" t="s">
        <v>113</v>
      </c>
      <c r="E160" t="s">
        <v>109</v>
      </c>
      <c r="F160" s="1" t="s">
        <v>34</v>
      </c>
      <c r="G160" s="1" t="s">
        <v>107</v>
      </c>
      <c r="H160" s="1">
        <v>1</v>
      </c>
      <c r="I160" s="1" t="s">
        <v>23</v>
      </c>
      <c r="J160" s="17" t="str">
        <f t="shared" si="13"/>
        <v>control_inactive_t60_rpt-1</v>
      </c>
      <c r="L160" s="1" t="s">
        <v>347</v>
      </c>
      <c r="M160" s="1" t="s">
        <v>28</v>
      </c>
      <c r="N160" s="1">
        <f t="shared" si="17"/>
        <v>7</v>
      </c>
      <c r="O160" s="1" t="str">
        <f t="shared" si="18"/>
        <v>Y:D7</v>
      </c>
    </row>
    <row r="161" spans="2:15" x14ac:dyDescent="0.25">
      <c r="C161" s="7">
        <f t="shared" si="16"/>
        <v>2.8885416666666535</v>
      </c>
      <c r="D161" t="s">
        <v>113</v>
      </c>
      <c r="E161" t="s">
        <v>109</v>
      </c>
      <c r="F161" s="1" t="s">
        <v>34</v>
      </c>
      <c r="G161" s="1" t="s">
        <v>107</v>
      </c>
      <c r="H161" s="1">
        <v>2</v>
      </c>
      <c r="I161" s="1" t="s">
        <v>23</v>
      </c>
      <c r="J161" s="17" t="str">
        <f t="shared" si="13"/>
        <v>control_inactive_t60_rpt-2</v>
      </c>
      <c r="L161" s="1" t="s">
        <v>347</v>
      </c>
      <c r="M161" s="1" t="s">
        <v>29</v>
      </c>
      <c r="N161" s="1">
        <f t="shared" si="17"/>
        <v>7</v>
      </c>
      <c r="O161" s="1" t="str">
        <f t="shared" si="18"/>
        <v>Y:E7</v>
      </c>
    </row>
    <row r="162" spans="2:15" x14ac:dyDescent="0.25">
      <c r="C162" s="7">
        <f t="shared" si="16"/>
        <v>2.9027777777777644</v>
      </c>
      <c r="D162" t="s">
        <v>113</v>
      </c>
      <c r="E162" t="s">
        <v>109</v>
      </c>
      <c r="F162" s="1" t="s">
        <v>34</v>
      </c>
      <c r="G162" s="1" t="s">
        <v>107</v>
      </c>
      <c r="H162" s="1">
        <v>3</v>
      </c>
      <c r="I162" s="1" t="s">
        <v>23</v>
      </c>
      <c r="J162" s="17" t="str">
        <f t="shared" si="13"/>
        <v>control_inactive_t60_rpt-3</v>
      </c>
      <c r="L162" s="1" t="s">
        <v>347</v>
      </c>
      <c r="M162" s="1" t="s">
        <v>30</v>
      </c>
      <c r="N162" s="1">
        <f t="shared" si="17"/>
        <v>7</v>
      </c>
      <c r="O162" s="1" t="str">
        <f t="shared" si="18"/>
        <v>Y:F7</v>
      </c>
    </row>
    <row r="163" spans="2:15" x14ac:dyDescent="0.25">
      <c r="C163" s="7">
        <f t="shared" si="16"/>
        <v>2.9170138888888753</v>
      </c>
      <c r="D163" t="s">
        <v>113</v>
      </c>
      <c r="E163" t="s">
        <v>110</v>
      </c>
      <c r="F163" s="1" t="s">
        <v>34</v>
      </c>
      <c r="G163" s="1" t="s">
        <v>107</v>
      </c>
      <c r="H163" s="1">
        <v>1</v>
      </c>
      <c r="I163" s="1" t="s">
        <v>23</v>
      </c>
      <c r="J163" s="17" t="str">
        <f t="shared" si="13"/>
        <v>control_no-enz_t60_rpt-1</v>
      </c>
      <c r="L163" s="1" t="s">
        <v>347</v>
      </c>
      <c r="M163" s="1" t="s">
        <v>31</v>
      </c>
      <c r="N163" s="1">
        <f t="shared" si="17"/>
        <v>7</v>
      </c>
      <c r="O163" s="1" t="str">
        <f t="shared" si="18"/>
        <v>Y:G7</v>
      </c>
    </row>
    <row r="164" spans="2:15" x14ac:dyDescent="0.25">
      <c r="C164" s="7">
        <f t="shared" si="16"/>
        <v>2.9312499999999861</v>
      </c>
      <c r="D164" t="s">
        <v>113</v>
      </c>
      <c r="E164" t="s">
        <v>110</v>
      </c>
      <c r="F164" s="1" t="s">
        <v>34</v>
      </c>
      <c r="G164" s="1" t="s">
        <v>107</v>
      </c>
      <c r="H164" s="1">
        <v>2</v>
      </c>
      <c r="I164" s="1" t="s">
        <v>23</v>
      </c>
      <c r="J164" s="17" t="str">
        <f t="shared" si="13"/>
        <v>control_no-enz_t60_rpt-2</v>
      </c>
      <c r="L164" s="1" t="s">
        <v>347</v>
      </c>
      <c r="M164" s="1" t="s">
        <v>31</v>
      </c>
      <c r="N164" s="1">
        <f t="shared" si="17"/>
        <v>8</v>
      </c>
      <c r="O164" s="1" t="str">
        <f t="shared" si="18"/>
        <v>Y:G8</v>
      </c>
    </row>
    <row r="165" spans="2:15" x14ac:dyDescent="0.25">
      <c r="C165" s="7">
        <f t="shared" si="16"/>
        <v>2.945486111111097</v>
      </c>
      <c r="D165" t="s">
        <v>113</v>
      </c>
      <c r="E165" t="s">
        <v>110</v>
      </c>
      <c r="F165" s="1" t="s">
        <v>34</v>
      </c>
      <c r="G165" s="1" t="s">
        <v>107</v>
      </c>
      <c r="H165" s="1">
        <v>3</v>
      </c>
      <c r="I165" s="1" t="s">
        <v>23</v>
      </c>
      <c r="J165" s="17" t="str">
        <f t="shared" si="13"/>
        <v>control_no-enz_t60_rpt-3</v>
      </c>
      <c r="L165" s="1" t="s">
        <v>347</v>
      </c>
      <c r="M165" s="1" t="s">
        <v>31</v>
      </c>
      <c r="N165" s="1">
        <f t="shared" si="17"/>
        <v>9</v>
      </c>
      <c r="O165" s="1" t="str">
        <f t="shared" si="18"/>
        <v>Y:G9</v>
      </c>
    </row>
    <row r="166" spans="2:15" x14ac:dyDescent="0.25">
      <c r="C166" s="7">
        <f t="shared" si="16"/>
        <v>2.9597222222222079</v>
      </c>
      <c r="D166" t="s">
        <v>113</v>
      </c>
      <c r="E166" t="s">
        <v>111</v>
      </c>
      <c r="F166" s="1" t="s">
        <v>34</v>
      </c>
      <c r="G166" s="1" t="s">
        <v>107</v>
      </c>
      <c r="H166" s="1">
        <v>1</v>
      </c>
      <c r="I166" s="1" t="s">
        <v>23</v>
      </c>
      <c r="J166" s="17" t="str">
        <f t="shared" si="13"/>
        <v>control_co-factor_t60_rpt-1</v>
      </c>
      <c r="L166" s="1" t="s">
        <v>347</v>
      </c>
      <c r="M166" s="1" t="s">
        <v>74</v>
      </c>
      <c r="N166" s="1">
        <f t="shared" si="17"/>
        <v>7</v>
      </c>
      <c r="O166" s="1" t="str">
        <f t="shared" si="18"/>
        <v>Y:H7</v>
      </c>
    </row>
    <row r="167" spans="2:15" x14ac:dyDescent="0.25">
      <c r="C167" s="7">
        <f t="shared" si="16"/>
        <v>2.9739583333333188</v>
      </c>
      <c r="D167" t="s">
        <v>113</v>
      </c>
      <c r="E167" t="s">
        <v>111</v>
      </c>
      <c r="F167" s="1" t="s">
        <v>34</v>
      </c>
      <c r="G167" s="1" t="s">
        <v>107</v>
      </c>
      <c r="H167" s="1">
        <v>2</v>
      </c>
      <c r="I167" s="1" t="s">
        <v>23</v>
      </c>
      <c r="J167" s="17" t="str">
        <f t="shared" si="13"/>
        <v>control_co-factor_t60_rpt-2</v>
      </c>
      <c r="L167" s="1" t="s">
        <v>347</v>
      </c>
      <c r="M167" s="1" t="s">
        <v>74</v>
      </c>
      <c r="N167" s="1">
        <f t="shared" si="17"/>
        <v>8</v>
      </c>
      <c r="O167" s="1" t="str">
        <f t="shared" si="18"/>
        <v>Y:H8</v>
      </c>
    </row>
    <row r="168" spans="2:15" x14ac:dyDescent="0.25">
      <c r="C168" s="7">
        <f t="shared" si="16"/>
        <v>2.9881944444444297</v>
      </c>
      <c r="D168" t="s">
        <v>113</v>
      </c>
      <c r="E168" t="s">
        <v>111</v>
      </c>
      <c r="F168" s="1" t="s">
        <v>34</v>
      </c>
      <c r="G168" s="1" t="s">
        <v>107</v>
      </c>
      <c r="H168" s="1">
        <v>3</v>
      </c>
      <c r="I168" s="1" t="s">
        <v>23</v>
      </c>
      <c r="J168" s="17" t="str">
        <f t="shared" si="13"/>
        <v>control_co-factor_t60_rpt-3</v>
      </c>
      <c r="L168" s="1" t="s">
        <v>347</v>
      </c>
      <c r="M168" s="1" t="s">
        <v>74</v>
      </c>
      <c r="N168" s="1">
        <f t="shared" si="17"/>
        <v>9</v>
      </c>
      <c r="O168" s="1" t="str">
        <f t="shared" si="18"/>
        <v>Y:H9</v>
      </c>
    </row>
    <row r="169" spans="2:15" x14ac:dyDescent="0.25">
      <c r="B169" t="s">
        <v>423</v>
      </c>
      <c r="C169" s="7">
        <f t="shared" si="16"/>
        <v>3.0024305555555406</v>
      </c>
      <c r="D169" t="s">
        <v>112</v>
      </c>
      <c r="E169" t="s">
        <v>114</v>
      </c>
      <c r="F169" s="1" t="s">
        <v>34</v>
      </c>
      <c r="G169" s="1" t="s">
        <v>107</v>
      </c>
      <c r="H169" s="1">
        <v>1</v>
      </c>
      <c r="I169" s="1" t="s">
        <v>23</v>
      </c>
      <c r="J169" s="17" t="str">
        <f t="shared" si="13"/>
        <v>CuATSM_10uM_t60_rpt-1</v>
      </c>
      <c r="L169" s="1" t="s">
        <v>347</v>
      </c>
      <c r="M169" s="1" t="s">
        <v>24</v>
      </c>
      <c r="N169" s="1">
        <f t="shared" si="17"/>
        <v>8</v>
      </c>
      <c r="O169" s="1" t="str">
        <f t="shared" si="18"/>
        <v>Y:A8</v>
      </c>
    </row>
    <row r="170" spans="2:15" x14ac:dyDescent="0.25">
      <c r="C170" s="7">
        <f t="shared" si="16"/>
        <v>3.0166666666666515</v>
      </c>
      <c r="D170" t="s">
        <v>112</v>
      </c>
      <c r="E170" t="s">
        <v>114</v>
      </c>
      <c r="F170" s="1" t="s">
        <v>34</v>
      </c>
      <c r="G170" s="1" t="s">
        <v>107</v>
      </c>
      <c r="H170" s="1">
        <v>2</v>
      </c>
      <c r="I170" s="1" t="s">
        <v>23</v>
      </c>
      <c r="J170" s="17" t="str">
        <f t="shared" si="13"/>
        <v>CuATSM_10uM_t60_rpt-2</v>
      </c>
      <c r="L170" s="1" t="s">
        <v>347</v>
      </c>
      <c r="M170" s="1" t="s">
        <v>26</v>
      </c>
      <c r="N170" s="1">
        <f t="shared" si="17"/>
        <v>8</v>
      </c>
      <c r="O170" s="1" t="str">
        <f t="shared" si="18"/>
        <v>Y:B8</v>
      </c>
    </row>
    <row r="171" spans="2:15" x14ac:dyDescent="0.25">
      <c r="C171" s="7">
        <f t="shared" si="16"/>
        <v>3.0309027777777624</v>
      </c>
      <c r="D171" t="s">
        <v>112</v>
      </c>
      <c r="E171" t="s">
        <v>114</v>
      </c>
      <c r="F171" s="1" t="s">
        <v>34</v>
      </c>
      <c r="G171" s="1" t="s">
        <v>107</v>
      </c>
      <c r="H171" s="1">
        <v>3</v>
      </c>
      <c r="I171" s="1" t="s">
        <v>23</v>
      </c>
      <c r="J171" s="17" t="str">
        <f t="shared" si="13"/>
        <v>CuATSM_10uM_t60_rpt-3</v>
      </c>
      <c r="L171" s="1" t="s">
        <v>347</v>
      </c>
      <c r="M171" s="1" t="s">
        <v>27</v>
      </c>
      <c r="N171" s="1">
        <f t="shared" si="17"/>
        <v>8</v>
      </c>
      <c r="O171" s="1" t="str">
        <f t="shared" si="18"/>
        <v>Y:C8</v>
      </c>
    </row>
    <row r="172" spans="2:15" x14ac:dyDescent="0.25">
      <c r="C172" s="7">
        <f t="shared" si="16"/>
        <v>3.0451388888888733</v>
      </c>
      <c r="D172" t="s">
        <v>112</v>
      </c>
      <c r="E172" t="s">
        <v>116</v>
      </c>
      <c r="F172" s="1" t="s">
        <v>34</v>
      </c>
      <c r="G172" s="1" t="s">
        <v>107</v>
      </c>
      <c r="H172" s="1">
        <v>1</v>
      </c>
      <c r="I172" s="1" t="s">
        <v>23</v>
      </c>
      <c r="J172" s="17" t="str">
        <f t="shared" si="13"/>
        <v>CuATSM_1uM_t60_rpt-1</v>
      </c>
      <c r="L172" s="1" t="s">
        <v>347</v>
      </c>
      <c r="M172" s="1" t="s">
        <v>28</v>
      </c>
      <c r="N172" s="1">
        <f t="shared" si="17"/>
        <v>8</v>
      </c>
      <c r="O172" s="1" t="str">
        <f t="shared" si="18"/>
        <v>Y:D8</v>
      </c>
    </row>
    <row r="173" spans="2:15" x14ac:dyDescent="0.25">
      <c r="C173" s="7">
        <f t="shared" si="16"/>
        <v>3.0593749999999842</v>
      </c>
      <c r="D173" t="s">
        <v>112</v>
      </c>
      <c r="E173" t="s">
        <v>116</v>
      </c>
      <c r="F173" s="1" t="s">
        <v>34</v>
      </c>
      <c r="G173" s="1" t="s">
        <v>107</v>
      </c>
      <c r="H173" s="1">
        <v>2</v>
      </c>
      <c r="I173" s="1" t="s">
        <v>23</v>
      </c>
      <c r="J173" s="17" t="str">
        <f t="shared" si="13"/>
        <v>CuATSM_1uM_t60_rpt-2</v>
      </c>
      <c r="L173" s="1" t="s">
        <v>347</v>
      </c>
      <c r="M173" s="16" t="s">
        <v>29</v>
      </c>
      <c r="N173" s="1">
        <f t="shared" si="17"/>
        <v>8</v>
      </c>
      <c r="O173" s="16" t="str">
        <f t="shared" si="18"/>
        <v>Y:E8</v>
      </c>
    </row>
    <row r="174" spans="2:15" x14ac:dyDescent="0.25">
      <c r="C174" s="7">
        <f t="shared" si="16"/>
        <v>3.0736111111110951</v>
      </c>
      <c r="D174" t="s">
        <v>112</v>
      </c>
      <c r="E174" t="s">
        <v>116</v>
      </c>
      <c r="F174" s="1" t="s">
        <v>34</v>
      </c>
      <c r="G174" s="1" t="s">
        <v>107</v>
      </c>
      <c r="H174" s="1">
        <v>3</v>
      </c>
      <c r="I174" s="1" t="s">
        <v>23</v>
      </c>
      <c r="J174" s="17" t="str">
        <f t="shared" si="13"/>
        <v>CuATSM_1uM_t60_rpt-3</v>
      </c>
      <c r="L174" s="1" t="s">
        <v>347</v>
      </c>
      <c r="M174" s="1" t="s">
        <v>30</v>
      </c>
      <c r="N174" s="1">
        <f t="shared" si="17"/>
        <v>8</v>
      </c>
      <c r="O174" s="1" t="str">
        <f t="shared" si="18"/>
        <v>Y:F8</v>
      </c>
    </row>
    <row r="175" spans="2:15" x14ac:dyDescent="0.25">
      <c r="C175" s="7">
        <f t="shared" si="16"/>
        <v>3.087847222222206</v>
      </c>
      <c r="D175" t="s">
        <v>115</v>
      </c>
      <c r="E175" t="s">
        <v>114</v>
      </c>
      <c r="F175" s="1" t="s">
        <v>34</v>
      </c>
      <c r="G175" s="1" t="s">
        <v>107</v>
      </c>
      <c r="H175" s="1">
        <v>1</v>
      </c>
      <c r="I175" s="1" t="s">
        <v>23</v>
      </c>
      <c r="J175" s="17" t="str">
        <f t="shared" si="13"/>
        <v>CuATSM-d6_10uM_t60_rpt-1</v>
      </c>
      <c r="L175" s="1" t="s">
        <v>347</v>
      </c>
      <c r="M175" s="1" t="s">
        <v>24</v>
      </c>
      <c r="N175" s="1">
        <f t="shared" si="17"/>
        <v>9</v>
      </c>
      <c r="O175" s="1" t="str">
        <f t="shared" si="18"/>
        <v>Y:A9</v>
      </c>
    </row>
    <row r="176" spans="2:15" x14ac:dyDescent="0.25">
      <c r="C176" s="7">
        <f t="shared" si="16"/>
        <v>3.1020833333333169</v>
      </c>
      <c r="D176" t="s">
        <v>115</v>
      </c>
      <c r="E176" t="s">
        <v>114</v>
      </c>
      <c r="F176" s="1" t="s">
        <v>34</v>
      </c>
      <c r="G176" s="1" t="s">
        <v>107</v>
      </c>
      <c r="H176" s="1">
        <v>2</v>
      </c>
      <c r="I176" s="1" t="s">
        <v>23</v>
      </c>
      <c r="J176" s="17" t="str">
        <f t="shared" si="13"/>
        <v>CuATSM-d6_10uM_t60_rpt-2</v>
      </c>
      <c r="L176" s="1" t="s">
        <v>347</v>
      </c>
      <c r="M176" s="1" t="s">
        <v>26</v>
      </c>
      <c r="N176" s="1">
        <f t="shared" si="17"/>
        <v>9</v>
      </c>
      <c r="O176" s="1" t="str">
        <f t="shared" si="18"/>
        <v>Y:B9</v>
      </c>
    </row>
    <row r="177" spans="3:15" x14ac:dyDescent="0.25">
      <c r="C177" s="7">
        <f t="shared" si="16"/>
        <v>3.1163194444444278</v>
      </c>
      <c r="D177" t="s">
        <v>115</v>
      </c>
      <c r="E177" t="s">
        <v>114</v>
      </c>
      <c r="F177" s="1" t="s">
        <v>34</v>
      </c>
      <c r="G177" s="1" t="s">
        <v>107</v>
      </c>
      <c r="H177" s="1">
        <v>3</v>
      </c>
      <c r="I177" s="1" t="s">
        <v>23</v>
      </c>
      <c r="J177" s="17" t="str">
        <f t="shared" si="13"/>
        <v>CuATSM-d6_10uM_t60_rpt-3</v>
      </c>
      <c r="L177" s="1" t="s">
        <v>347</v>
      </c>
      <c r="M177" s="1" t="s">
        <v>27</v>
      </c>
      <c r="N177" s="1">
        <f t="shared" si="17"/>
        <v>9</v>
      </c>
      <c r="O177" s="1" t="str">
        <f t="shared" si="18"/>
        <v>Y:C9</v>
      </c>
    </row>
    <row r="178" spans="3:15" x14ac:dyDescent="0.25">
      <c r="C178" s="7">
        <f t="shared" si="16"/>
        <v>3.1305555555555387</v>
      </c>
      <c r="D178" t="s">
        <v>115</v>
      </c>
      <c r="E178" t="s">
        <v>116</v>
      </c>
      <c r="F178" s="1" t="s">
        <v>34</v>
      </c>
      <c r="G178" s="1" t="s">
        <v>107</v>
      </c>
      <c r="H178" s="1">
        <v>1</v>
      </c>
      <c r="I178" s="1" t="s">
        <v>23</v>
      </c>
      <c r="J178" s="17" t="str">
        <f t="shared" si="13"/>
        <v>CuATSM-d6_1uM_t60_rpt-1</v>
      </c>
      <c r="L178" s="1" t="s">
        <v>347</v>
      </c>
      <c r="M178" s="1" t="s">
        <v>28</v>
      </c>
      <c r="N178" s="1">
        <f t="shared" si="17"/>
        <v>9</v>
      </c>
      <c r="O178" s="1" t="str">
        <f t="shared" si="18"/>
        <v>Y:D9</v>
      </c>
    </row>
    <row r="179" spans="3:15" x14ac:dyDescent="0.25">
      <c r="C179" s="7">
        <f t="shared" si="16"/>
        <v>3.1447916666666496</v>
      </c>
      <c r="D179" t="s">
        <v>115</v>
      </c>
      <c r="E179" t="s">
        <v>116</v>
      </c>
      <c r="F179" s="1" t="s">
        <v>34</v>
      </c>
      <c r="G179" s="1" t="s">
        <v>107</v>
      </c>
      <c r="H179" s="1">
        <v>2</v>
      </c>
      <c r="I179" s="1" t="s">
        <v>23</v>
      </c>
      <c r="J179" s="17" t="str">
        <f t="shared" si="13"/>
        <v>CuATSM-d6_1uM_t60_rpt-2</v>
      </c>
      <c r="L179" s="1" t="s">
        <v>347</v>
      </c>
      <c r="M179" s="1" t="s">
        <v>29</v>
      </c>
      <c r="N179" s="1">
        <f t="shared" si="17"/>
        <v>9</v>
      </c>
      <c r="O179" s="1" t="str">
        <f t="shared" si="18"/>
        <v>Y:E9</v>
      </c>
    </row>
    <row r="180" spans="3:15" x14ac:dyDescent="0.25">
      <c r="C180" s="7">
        <f t="shared" si="16"/>
        <v>3.1590277777777604</v>
      </c>
      <c r="D180" t="s">
        <v>115</v>
      </c>
      <c r="E180" t="s">
        <v>116</v>
      </c>
      <c r="F180" s="1" t="s">
        <v>34</v>
      </c>
      <c r="G180" s="1" t="s">
        <v>107</v>
      </c>
      <c r="H180" s="1">
        <v>3</v>
      </c>
      <c r="I180" s="1" t="s">
        <v>23</v>
      </c>
      <c r="J180" s="17" t="str">
        <f t="shared" si="13"/>
        <v>CuATSM-d6_1uM_t60_rpt-3</v>
      </c>
      <c r="L180" s="1" t="s">
        <v>347</v>
      </c>
      <c r="M180" s="1" t="s">
        <v>30</v>
      </c>
      <c r="N180" s="1">
        <f t="shared" si="17"/>
        <v>9</v>
      </c>
      <c r="O180" s="1" t="str">
        <f t="shared" si="18"/>
        <v>Y:F9</v>
      </c>
    </row>
    <row r="181" spans="3:15" x14ac:dyDescent="0.25">
      <c r="C181" s="7">
        <f t="shared" si="16"/>
        <v>3.1732638888888713</v>
      </c>
      <c r="D181" s="12" t="s">
        <v>105</v>
      </c>
      <c r="E181" s="14" t="s">
        <v>35</v>
      </c>
      <c r="F181" s="18" t="s">
        <v>36</v>
      </c>
      <c r="G181" s="18" t="s">
        <v>107</v>
      </c>
      <c r="H181" s="18">
        <v>9</v>
      </c>
      <c r="I181" s="18" t="s">
        <v>22</v>
      </c>
      <c r="J181" s="19" t="str">
        <f t="shared" si="13"/>
        <v>solvent_blank_water_rpt-9</v>
      </c>
      <c r="K181" s="20"/>
      <c r="L181" s="18" t="s">
        <v>31</v>
      </c>
      <c r="M181" s="18" t="s">
        <v>24</v>
      </c>
      <c r="N181" s="18">
        <v>9</v>
      </c>
      <c r="O181" s="18" t="str">
        <f>CONCATENATE(L181,":",M181,N181)</f>
        <v>G:A9</v>
      </c>
    </row>
    <row r="182" spans="3:15" x14ac:dyDescent="0.25">
      <c r="C182" s="7">
        <f t="shared" si="16"/>
        <v>3.1874999999999822</v>
      </c>
      <c r="D182" s="11" t="s">
        <v>103</v>
      </c>
      <c r="E182" s="13" t="s">
        <v>104</v>
      </c>
      <c r="F182" s="1" t="s">
        <v>421</v>
      </c>
      <c r="G182" s="1" t="s">
        <v>107</v>
      </c>
      <c r="H182" s="1">
        <v>3</v>
      </c>
      <c r="I182" s="16" t="s">
        <v>22</v>
      </c>
      <c r="J182" s="17" t="str">
        <f t="shared" si="13"/>
        <v>system_QC_caffeine-dil10_rpt-3</v>
      </c>
      <c r="L182" s="16" t="s">
        <v>31</v>
      </c>
      <c r="M182" s="16" t="s">
        <v>26</v>
      </c>
      <c r="N182" s="16">
        <v>3</v>
      </c>
      <c r="O182" s="1" t="str">
        <f t="shared" ref="O182:O183" si="19">CONCATENATE(L182,":",M182,N182)</f>
        <v>G:B3</v>
      </c>
    </row>
    <row r="183" spans="3:15" x14ac:dyDescent="0.25">
      <c r="C183" s="7">
        <f t="shared" si="16"/>
        <v>3.2017361111110931</v>
      </c>
      <c r="D183" s="11" t="s">
        <v>103</v>
      </c>
      <c r="E183" s="14" t="s">
        <v>35</v>
      </c>
      <c r="F183" s="18" t="s">
        <v>36</v>
      </c>
      <c r="G183" s="18" t="s">
        <v>107</v>
      </c>
      <c r="H183" s="18">
        <v>2</v>
      </c>
      <c r="I183" s="18" t="s">
        <v>22</v>
      </c>
      <c r="J183" s="19" t="str">
        <f t="shared" si="13"/>
        <v>system_blank_water_rpt-2</v>
      </c>
      <c r="K183" s="20"/>
      <c r="L183" s="18" t="s">
        <v>31</v>
      </c>
      <c r="M183" s="18" t="s">
        <v>24</v>
      </c>
      <c r="N183" s="18">
        <v>8</v>
      </c>
      <c r="O183" s="18" t="str">
        <f t="shared" si="19"/>
        <v>G:A8</v>
      </c>
    </row>
  </sheetData>
  <mergeCells count="2">
    <mergeCell ref="D1:E1"/>
    <mergeCell ref="I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4"/>
  <sheetViews>
    <sheetView zoomScale="70" zoomScaleNormal="70" workbookViewId="0"/>
  </sheetViews>
  <sheetFormatPr defaultRowHeight="15" x14ac:dyDescent="0.25"/>
  <cols>
    <col min="1" max="1" width="14.42578125" bestFit="1" customWidth="1"/>
    <col min="2" max="2" width="30.140625" bestFit="1" customWidth="1"/>
    <col min="4" max="4" width="73.140625" bestFit="1" customWidth="1"/>
    <col min="5" max="5" width="92" bestFit="1" customWidth="1"/>
    <col min="6" max="6" width="15.28515625" bestFit="1" customWidth="1"/>
    <col min="21" max="21" width="30.140625" bestFit="1" customWidth="1"/>
  </cols>
  <sheetData>
    <row r="1" spans="1:21" x14ac:dyDescent="0.25">
      <c r="A1" t="s">
        <v>0</v>
      </c>
    </row>
    <row r="2" spans="1:2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</row>
    <row r="3" spans="1:21" x14ac:dyDescent="0.25">
      <c r="A3" t="s">
        <v>22</v>
      </c>
      <c r="B3" t="s">
        <v>125</v>
      </c>
      <c r="C3">
        <v>1</v>
      </c>
      <c r="D3" t="s">
        <v>428</v>
      </c>
      <c r="E3" t="s">
        <v>124</v>
      </c>
      <c r="H3" t="s">
        <v>73</v>
      </c>
      <c r="I3">
        <v>2</v>
      </c>
      <c r="K3">
        <v>0</v>
      </c>
      <c r="L3">
        <v>0</v>
      </c>
      <c r="M3">
        <v>0</v>
      </c>
      <c r="N3">
        <v>1</v>
      </c>
      <c r="U3" t="s">
        <v>125</v>
      </c>
    </row>
    <row r="4" spans="1:21" x14ac:dyDescent="0.25">
      <c r="A4" t="s">
        <v>22</v>
      </c>
      <c r="B4" t="s">
        <v>424</v>
      </c>
      <c r="C4">
        <v>2</v>
      </c>
      <c r="D4" t="s">
        <v>428</v>
      </c>
      <c r="E4" t="s">
        <v>124</v>
      </c>
      <c r="H4" t="s">
        <v>427</v>
      </c>
      <c r="I4">
        <v>2</v>
      </c>
      <c r="U4" t="s">
        <v>424</v>
      </c>
    </row>
    <row r="5" spans="1:21" x14ac:dyDescent="0.25">
      <c r="A5" t="s">
        <v>22</v>
      </c>
      <c r="B5" t="s">
        <v>126</v>
      </c>
      <c r="C5">
        <v>3</v>
      </c>
      <c r="D5" t="s">
        <v>428</v>
      </c>
      <c r="E5" t="s">
        <v>124</v>
      </c>
      <c r="H5" t="s">
        <v>306</v>
      </c>
      <c r="I5">
        <v>2</v>
      </c>
      <c r="U5" t="s">
        <v>126</v>
      </c>
    </row>
    <row r="6" spans="1:21" x14ac:dyDescent="0.25">
      <c r="A6" t="s">
        <v>23</v>
      </c>
      <c r="B6" t="s">
        <v>127</v>
      </c>
      <c r="C6">
        <v>4</v>
      </c>
      <c r="D6" t="s">
        <v>428</v>
      </c>
      <c r="E6" t="s">
        <v>124</v>
      </c>
      <c r="H6" t="s">
        <v>37</v>
      </c>
      <c r="I6">
        <v>2</v>
      </c>
      <c r="U6" t="s">
        <v>127</v>
      </c>
    </row>
    <row r="7" spans="1:21" x14ac:dyDescent="0.25">
      <c r="A7" t="s">
        <v>23</v>
      </c>
      <c r="B7" t="s">
        <v>128</v>
      </c>
      <c r="C7">
        <v>5</v>
      </c>
      <c r="D7" t="s">
        <v>428</v>
      </c>
      <c r="E7" t="s">
        <v>124</v>
      </c>
      <c r="H7" t="s">
        <v>38</v>
      </c>
      <c r="I7">
        <v>2</v>
      </c>
      <c r="U7" t="s">
        <v>128</v>
      </c>
    </row>
    <row r="8" spans="1:21" x14ac:dyDescent="0.25">
      <c r="A8" t="s">
        <v>23</v>
      </c>
      <c r="B8" t="s">
        <v>129</v>
      </c>
      <c r="C8">
        <v>6</v>
      </c>
      <c r="D8" t="s">
        <v>428</v>
      </c>
      <c r="E8" t="s">
        <v>124</v>
      </c>
      <c r="H8" t="s">
        <v>39</v>
      </c>
      <c r="I8">
        <v>2</v>
      </c>
      <c r="U8" t="s">
        <v>129</v>
      </c>
    </row>
    <row r="9" spans="1:21" x14ac:dyDescent="0.25">
      <c r="A9" t="s">
        <v>23</v>
      </c>
      <c r="B9" t="s">
        <v>130</v>
      </c>
      <c r="C9">
        <v>7</v>
      </c>
      <c r="D9" t="s">
        <v>428</v>
      </c>
      <c r="E9" t="s">
        <v>124</v>
      </c>
      <c r="H9" t="s">
        <v>40</v>
      </c>
      <c r="I9">
        <v>2</v>
      </c>
      <c r="U9" t="s">
        <v>130</v>
      </c>
    </row>
    <row r="10" spans="1:21" x14ac:dyDescent="0.25">
      <c r="A10" t="s">
        <v>23</v>
      </c>
      <c r="B10" t="s">
        <v>131</v>
      </c>
      <c r="C10">
        <v>8</v>
      </c>
      <c r="D10" t="s">
        <v>428</v>
      </c>
      <c r="E10" t="s">
        <v>124</v>
      </c>
      <c r="H10" t="s">
        <v>41</v>
      </c>
      <c r="I10">
        <v>2</v>
      </c>
      <c r="U10" t="s">
        <v>131</v>
      </c>
    </row>
    <row r="11" spans="1:21" x14ac:dyDescent="0.25">
      <c r="A11" t="s">
        <v>23</v>
      </c>
      <c r="B11" t="s">
        <v>132</v>
      </c>
      <c r="C11">
        <v>9</v>
      </c>
      <c r="D11" t="s">
        <v>428</v>
      </c>
      <c r="E11" t="s">
        <v>124</v>
      </c>
      <c r="H11" t="s">
        <v>75</v>
      </c>
      <c r="I11">
        <v>2</v>
      </c>
      <c r="U11" t="s">
        <v>132</v>
      </c>
    </row>
    <row r="12" spans="1:21" x14ac:dyDescent="0.25">
      <c r="A12" t="s">
        <v>23</v>
      </c>
      <c r="B12" t="s">
        <v>133</v>
      </c>
      <c r="C12">
        <v>10</v>
      </c>
      <c r="D12" t="s">
        <v>428</v>
      </c>
      <c r="E12" t="s">
        <v>124</v>
      </c>
      <c r="H12" t="s">
        <v>76</v>
      </c>
      <c r="I12">
        <v>2</v>
      </c>
      <c r="U12" t="s">
        <v>133</v>
      </c>
    </row>
    <row r="13" spans="1:21" x14ac:dyDescent="0.25">
      <c r="A13" t="s">
        <v>23</v>
      </c>
      <c r="B13" t="s">
        <v>134</v>
      </c>
      <c r="C13">
        <v>11</v>
      </c>
      <c r="D13" t="s">
        <v>428</v>
      </c>
      <c r="E13" t="s">
        <v>124</v>
      </c>
      <c r="H13" t="s">
        <v>80</v>
      </c>
      <c r="I13">
        <v>2</v>
      </c>
      <c r="U13" t="s">
        <v>134</v>
      </c>
    </row>
    <row r="14" spans="1:21" x14ac:dyDescent="0.25">
      <c r="A14" t="s">
        <v>23</v>
      </c>
      <c r="B14" t="s">
        <v>135</v>
      </c>
      <c r="C14">
        <v>12</v>
      </c>
      <c r="D14" t="s">
        <v>428</v>
      </c>
      <c r="E14" t="s">
        <v>124</v>
      </c>
      <c r="H14" t="s">
        <v>84</v>
      </c>
      <c r="I14">
        <v>2</v>
      </c>
      <c r="U14" t="s">
        <v>135</v>
      </c>
    </row>
    <row r="15" spans="1:21" x14ac:dyDescent="0.25">
      <c r="A15" t="s">
        <v>23</v>
      </c>
      <c r="B15" t="s">
        <v>136</v>
      </c>
      <c r="C15">
        <v>13</v>
      </c>
      <c r="D15" t="s">
        <v>428</v>
      </c>
      <c r="E15" t="s">
        <v>124</v>
      </c>
      <c r="H15" t="s">
        <v>77</v>
      </c>
      <c r="I15">
        <v>2</v>
      </c>
      <c r="U15" t="s">
        <v>136</v>
      </c>
    </row>
    <row r="16" spans="1:21" x14ac:dyDescent="0.25">
      <c r="A16" t="s">
        <v>23</v>
      </c>
      <c r="B16" t="s">
        <v>137</v>
      </c>
      <c r="C16">
        <v>14</v>
      </c>
      <c r="D16" t="s">
        <v>428</v>
      </c>
      <c r="E16" t="s">
        <v>124</v>
      </c>
      <c r="H16" t="s">
        <v>81</v>
      </c>
      <c r="I16">
        <v>2</v>
      </c>
      <c r="U16" t="s">
        <v>137</v>
      </c>
    </row>
    <row r="17" spans="1:21" x14ac:dyDescent="0.25">
      <c r="A17" t="s">
        <v>23</v>
      </c>
      <c r="B17" t="s">
        <v>138</v>
      </c>
      <c r="C17">
        <v>15</v>
      </c>
      <c r="D17" t="s">
        <v>428</v>
      </c>
      <c r="E17" t="s">
        <v>124</v>
      </c>
      <c r="H17" t="s">
        <v>85</v>
      </c>
      <c r="I17">
        <v>2</v>
      </c>
      <c r="U17" t="s">
        <v>138</v>
      </c>
    </row>
    <row r="18" spans="1:21" x14ac:dyDescent="0.25">
      <c r="A18" t="s">
        <v>23</v>
      </c>
      <c r="B18" t="s">
        <v>139</v>
      </c>
      <c r="C18">
        <v>16</v>
      </c>
      <c r="D18" t="s">
        <v>428</v>
      </c>
      <c r="E18" t="s">
        <v>124</v>
      </c>
      <c r="H18" t="s">
        <v>42</v>
      </c>
      <c r="I18">
        <v>2</v>
      </c>
      <c r="U18" t="s">
        <v>139</v>
      </c>
    </row>
    <row r="19" spans="1:21" x14ac:dyDescent="0.25">
      <c r="A19" t="s">
        <v>23</v>
      </c>
      <c r="B19" t="s">
        <v>140</v>
      </c>
      <c r="C19">
        <v>17</v>
      </c>
      <c r="D19" t="s">
        <v>428</v>
      </c>
      <c r="E19" t="s">
        <v>124</v>
      </c>
      <c r="H19" t="s">
        <v>49</v>
      </c>
      <c r="I19">
        <v>2</v>
      </c>
      <c r="U19" t="s">
        <v>140</v>
      </c>
    </row>
    <row r="20" spans="1:21" x14ac:dyDescent="0.25">
      <c r="A20" t="s">
        <v>23</v>
      </c>
      <c r="B20" t="s">
        <v>141</v>
      </c>
      <c r="C20">
        <v>18</v>
      </c>
      <c r="D20" t="s">
        <v>428</v>
      </c>
      <c r="E20" t="s">
        <v>124</v>
      </c>
      <c r="H20" t="s">
        <v>56</v>
      </c>
      <c r="I20">
        <v>2</v>
      </c>
      <c r="U20" t="s">
        <v>141</v>
      </c>
    </row>
    <row r="21" spans="1:21" x14ac:dyDescent="0.25">
      <c r="A21" t="s">
        <v>23</v>
      </c>
      <c r="B21" t="s">
        <v>142</v>
      </c>
      <c r="C21">
        <v>19</v>
      </c>
      <c r="D21" t="s">
        <v>428</v>
      </c>
      <c r="E21" t="s">
        <v>124</v>
      </c>
      <c r="H21" t="s">
        <v>63</v>
      </c>
      <c r="I21">
        <v>2</v>
      </c>
      <c r="U21" t="s">
        <v>142</v>
      </c>
    </row>
    <row r="22" spans="1:21" x14ac:dyDescent="0.25">
      <c r="A22" t="s">
        <v>23</v>
      </c>
      <c r="B22" t="s">
        <v>143</v>
      </c>
      <c r="C22">
        <v>20</v>
      </c>
      <c r="D22" t="s">
        <v>428</v>
      </c>
      <c r="E22" t="s">
        <v>124</v>
      </c>
      <c r="H22" t="s">
        <v>78</v>
      </c>
      <c r="I22">
        <v>2</v>
      </c>
      <c r="U22" t="s">
        <v>143</v>
      </c>
    </row>
    <row r="23" spans="1:21" x14ac:dyDescent="0.25">
      <c r="A23" t="s">
        <v>23</v>
      </c>
      <c r="B23" t="s">
        <v>144</v>
      </c>
      <c r="C23">
        <v>21</v>
      </c>
      <c r="D23" t="s">
        <v>428</v>
      </c>
      <c r="E23" t="s">
        <v>124</v>
      </c>
      <c r="H23" t="s">
        <v>79</v>
      </c>
      <c r="I23">
        <v>2</v>
      </c>
      <c r="U23" t="s">
        <v>144</v>
      </c>
    </row>
    <row r="24" spans="1:21" x14ac:dyDescent="0.25">
      <c r="A24" t="s">
        <v>23</v>
      </c>
      <c r="B24" t="s">
        <v>145</v>
      </c>
      <c r="C24">
        <v>22</v>
      </c>
      <c r="D24" t="s">
        <v>428</v>
      </c>
      <c r="E24" t="s">
        <v>124</v>
      </c>
      <c r="H24" t="s">
        <v>43</v>
      </c>
      <c r="I24">
        <v>2</v>
      </c>
      <c r="U24" t="s">
        <v>145</v>
      </c>
    </row>
    <row r="25" spans="1:21" x14ac:dyDescent="0.25">
      <c r="A25" t="s">
        <v>23</v>
      </c>
      <c r="B25" t="s">
        <v>146</v>
      </c>
      <c r="C25">
        <v>23</v>
      </c>
      <c r="D25" t="s">
        <v>428</v>
      </c>
      <c r="E25" t="s">
        <v>124</v>
      </c>
      <c r="H25" t="s">
        <v>50</v>
      </c>
      <c r="I25">
        <v>2</v>
      </c>
      <c r="U25" t="s">
        <v>146</v>
      </c>
    </row>
    <row r="26" spans="1:21" x14ac:dyDescent="0.25">
      <c r="A26" t="s">
        <v>23</v>
      </c>
      <c r="B26" t="s">
        <v>147</v>
      </c>
      <c r="C26">
        <v>24</v>
      </c>
      <c r="D26" t="s">
        <v>428</v>
      </c>
      <c r="E26" t="s">
        <v>124</v>
      </c>
      <c r="H26" t="s">
        <v>57</v>
      </c>
      <c r="I26">
        <v>2</v>
      </c>
      <c r="U26" t="s">
        <v>147</v>
      </c>
    </row>
    <row r="27" spans="1:21" x14ac:dyDescent="0.25">
      <c r="A27" t="s">
        <v>23</v>
      </c>
      <c r="B27" t="s">
        <v>148</v>
      </c>
      <c r="C27">
        <v>25</v>
      </c>
      <c r="D27" t="s">
        <v>428</v>
      </c>
      <c r="E27" t="s">
        <v>124</v>
      </c>
      <c r="H27" t="s">
        <v>64</v>
      </c>
      <c r="I27">
        <v>2</v>
      </c>
      <c r="U27" t="s">
        <v>148</v>
      </c>
    </row>
    <row r="28" spans="1:21" x14ac:dyDescent="0.25">
      <c r="A28" t="s">
        <v>23</v>
      </c>
      <c r="B28" t="s">
        <v>149</v>
      </c>
      <c r="C28">
        <v>26</v>
      </c>
      <c r="D28" t="s">
        <v>428</v>
      </c>
      <c r="E28" t="s">
        <v>124</v>
      </c>
      <c r="H28" t="s">
        <v>82</v>
      </c>
      <c r="I28">
        <v>2</v>
      </c>
      <c r="U28" t="s">
        <v>149</v>
      </c>
    </row>
    <row r="29" spans="1:21" x14ac:dyDescent="0.25">
      <c r="A29" t="s">
        <v>23</v>
      </c>
      <c r="B29" t="s">
        <v>150</v>
      </c>
      <c r="C29">
        <v>27</v>
      </c>
      <c r="D29" t="s">
        <v>428</v>
      </c>
      <c r="E29" t="s">
        <v>124</v>
      </c>
      <c r="H29" t="s">
        <v>83</v>
      </c>
      <c r="I29">
        <v>2</v>
      </c>
      <c r="U29" t="s">
        <v>150</v>
      </c>
    </row>
    <row r="30" spans="1:21" x14ac:dyDescent="0.25">
      <c r="A30" t="s">
        <v>22</v>
      </c>
      <c r="B30" t="s">
        <v>151</v>
      </c>
      <c r="C30">
        <v>28</v>
      </c>
      <c r="D30" t="s">
        <v>428</v>
      </c>
      <c r="E30" t="s">
        <v>124</v>
      </c>
      <c r="H30" t="s">
        <v>306</v>
      </c>
      <c r="I30">
        <v>2</v>
      </c>
      <c r="U30" t="s">
        <v>151</v>
      </c>
    </row>
    <row r="31" spans="1:21" x14ac:dyDescent="0.25">
      <c r="A31" t="s">
        <v>23</v>
      </c>
      <c r="B31" t="s">
        <v>152</v>
      </c>
      <c r="C31">
        <v>29</v>
      </c>
      <c r="D31" t="s">
        <v>428</v>
      </c>
      <c r="E31" t="s">
        <v>124</v>
      </c>
      <c r="H31" t="s">
        <v>44</v>
      </c>
      <c r="I31">
        <v>2</v>
      </c>
      <c r="U31" t="s">
        <v>152</v>
      </c>
    </row>
    <row r="32" spans="1:21" x14ac:dyDescent="0.25">
      <c r="A32" t="s">
        <v>23</v>
      </c>
      <c r="B32" t="s">
        <v>153</v>
      </c>
      <c r="C32">
        <v>30</v>
      </c>
      <c r="D32" t="s">
        <v>428</v>
      </c>
      <c r="E32" t="s">
        <v>124</v>
      </c>
      <c r="H32" t="s">
        <v>51</v>
      </c>
      <c r="I32">
        <v>2</v>
      </c>
      <c r="U32" t="s">
        <v>153</v>
      </c>
    </row>
    <row r="33" spans="1:21" x14ac:dyDescent="0.25">
      <c r="A33" t="s">
        <v>23</v>
      </c>
      <c r="B33" t="s">
        <v>154</v>
      </c>
      <c r="C33">
        <v>31</v>
      </c>
      <c r="D33" t="s">
        <v>428</v>
      </c>
      <c r="E33" t="s">
        <v>124</v>
      </c>
      <c r="H33" t="s">
        <v>58</v>
      </c>
      <c r="I33">
        <v>2</v>
      </c>
      <c r="U33" t="s">
        <v>154</v>
      </c>
    </row>
    <row r="34" spans="1:21" x14ac:dyDescent="0.25">
      <c r="A34" t="s">
        <v>23</v>
      </c>
      <c r="B34" t="s">
        <v>155</v>
      </c>
      <c r="C34">
        <v>32</v>
      </c>
      <c r="D34" t="s">
        <v>428</v>
      </c>
      <c r="E34" t="s">
        <v>124</v>
      </c>
      <c r="H34" t="s">
        <v>65</v>
      </c>
      <c r="I34">
        <v>2</v>
      </c>
      <c r="U34" t="s">
        <v>155</v>
      </c>
    </row>
    <row r="35" spans="1:21" x14ac:dyDescent="0.25">
      <c r="A35" t="s">
        <v>23</v>
      </c>
      <c r="B35" t="s">
        <v>156</v>
      </c>
      <c r="C35">
        <v>33</v>
      </c>
      <c r="D35" t="s">
        <v>428</v>
      </c>
      <c r="E35" t="s">
        <v>124</v>
      </c>
      <c r="H35" t="s">
        <v>86</v>
      </c>
      <c r="I35">
        <v>2</v>
      </c>
      <c r="U35" t="s">
        <v>156</v>
      </c>
    </row>
    <row r="36" spans="1:21" x14ac:dyDescent="0.25">
      <c r="A36" t="s">
        <v>23</v>
      </c>
      <c r="B36" t="s">
        <v>157</v>
      </c>
      <c r="C36">
        <v>34</v>
      </c>
      <c r="D36" t="s">
        <v>428</v>
      </c>
      <c r="E36" t="s">
        <v>124</v>
      </c>
      <c r="H36" t="s">
        <v>87</v>
      </c>
      <c r="I36">
        <v>2</v>
      </c>
      <c r="U36" t="s">
        <v>157</v>
      </c>
    </row>
    <row r="37" spans="1:21" x14ac:dyDescent="0.25">
      <c r="A37" t="s">
        <v>23</v>
      </c>
      <c r="B37" t="s">
        <v>158</v>
      </c>
      <c r="C37">
        <v>35</v>
      </c>
      <c r="D37" t="s">
        <v>428</v>
      </c>
      <c r="E37" t="s">
        <v>124</v>
      </c>
      <c r="H37" t="s">
        <v>88</v>
      </c>
      <c r="I37">
        <v>2</v>
      </c>
      <c r="U37" t="s">
        <v>158</v>
      </c>
    </row>
    <row r="38" spans="1:21" x14ac:dyDescent="0.25">
      <c r="A38" t="s">
        <v>23</v>
      </c>
      <c r="B38" t="s">
        <v>159</v>
      </c>
      <c r="C38">
        <v>36</v>
      </c>
      <c r="D38" t="s">
        <v>428</v>
      </c>
      <c r="E38" t="s">
        <v>124</v>
      </c>
      <c r="H38" t="s">
        <v>92</v>
      </c>
      <c r="I38">
        <v>2</v>
      </c>
      <c r="U38" t="s">
        <v>159</v>
      </c>
    </row>
    <row r="39" spans="1:21" x14ac:dyDescent="0.25">
      <c r="A39" t="s">
        <v>23</v>
      </c>
      <c r="B39" t="s">
        <v>160</v>
      </c>
      <c r="C39">
        <v>37</v>
      </c>
      <c r="D39" t="s">
        <v>428</v>
      </c>
      <c r="E39" t="s">
        <v>124</v>
      </c>
      <c r="H39" t="s">
        <v>96</v>
      </c>
      <c r="I39">
        <v>2</v>
      </c>
      <c r="U39" t="s">
        <v>160</v>
      </c>
    </row>
    <row r="40" spans="1:21" x14ac:dyDescent="0.25">
      <c r="A40" t="s">
        <v>23</v>
      </c>
      <c r="B40" t="s">
        <v>161</v>
      </c>
      <c r="C40">
        <v>38</v>
      </c>
      <c r="D40" t="s">
        <v>428</v>
      </c>
      <c r="E40" t="s">
        <v>124</v>
      </c>
      <c r="H40" t="s">
        <v>89</v>
      </c>
      <c r="I40">
        <v>2</v>
      </c>
      <c r="U40" t="s">
        <v>161</v>
      </c>
    </row>
    <row r="41" spans="1:21" x14ac:dyDescent="0.25">
      <c r="A41" t="s">
        <v>23</v>
      </c>
      <c r="B41" t="s">
        <v>162</v>
      </c>
      <c r="C41">
        <v>39</v>
      </c>
      <c r="D41" t="s">
        <v>428</v>
      </c>
      <c r="E41" t="s">
        <v>124</v>
      </c>
      <c r="H41" t="s">
        <v>93</v>
      </c>
      <c r="I41">
        <v>2</v>
      </c>
      <c r="U41" t="s">
        <v>162</v>
      </c>
    </row>
    <row r="42" spans="1:21" x14ac:dyDescent="0.25">
      <c r="A42" t="s">
        <v>23</v>
      </c>
      <c r="B42" t="s">
        <v>163</v>
      </c>
      <c r="C42">
        <v>40</v>
      </c>
      <c r="D42" t="s">
        <v>428</v>
      </c>
      <c r="E42" t="s">
        <v>124</v>
      </c>
      <c r="H42" t="s">
        <v>97</v>
      </c>
      <c r="I42">
        <v>2</v>
      </c>
      <c r="U42" t="s">
        <v>163</v>
      </c>
    </row>
    <row r="43" spans="1:21" x14ac:dyDescent="0.25">
      <c r="A43" t="s">
        <v>23</v>
      </c>
      <c r="B43" t="s">
        <v>164</v>
      </c>
      <c r="C43">
        <v>41</v>
      </c>
      <c r="D43" t="s">
        <v>428</v>
      </c>
      <c r="E43" t="s">
        <v>124</v>
      </c>
      <c r="H43" t="s">
        <v>45</v>
      </c>
      <c r="I43">
        <v>2</v>
      </c>
      <c r="U43" t="s">
        <v>164</v>
      </c>
    </row>
    <row r="44" spans="1:21" x14ac:dyDescent="0.25">
      <c r="A44" t="s">
        <v>23</v>
      </c>
      <c r="B44" t="s">
        <v>165</v>
      </c>
      <c r="C44">
        <v>42</v>
      </c>
      <c r="D44" t="s">
        <v>428</v>
      </c>
      <c r="E44" t="s">
        <v>124</v>
      </c>
      <c r="H44" t="s">
        <v>52</v>
      </c>
      <c r="I44">
        <v>2</v>
      </c>
      <c r="U44" t="s">
        <v>165</v>
      </c>
    </row>
    <row r="45" spans="1:21" x14ac:dyDescent="0.25">
      <c r="A45" t="s">
        <v>23</v>
      </c>
      <c r="B45" t="s">
        <v>166</v>
      </c>
      <c r="C45">
        <v>43</v>
      </c>
      <c r="D45" t="s">
        <v>428</v>
      </c>
      <c r="E45" t="s">
        <v>124</v>
      </c>
      <c r="H45" t="s">
        <v>59</v>
      </c>
      <c r="I45">
        <v>2</v>
      </c>
      <c r="U45" t="s">
        <v>166</v>
      </c>
    </row>
    <row r="46" spans="1:21" x14ac:dyDescent="0.25">
      <c r="A46" t="s">
        <v>23</v>
      </c>
      <c r="B46" t="s">
        <v>167</v>
      </c>
      <c r="C46">
        <v>44</v>
      </c>
      <c r="D46" t="s">
        <v>428</v>
      </c>
      <c r="E46" t="s">
        <v>124</v>
      </c>
      <c r="H46" t="s">
        <v>66</v>
      </c>
      <c r="I46">
        <v>2</v>
      </c>
      <c r="U46" t="s">
        <v>167</v>
      </c>
    </row>
    <row r="47" spans="1:21" x14ac:dyDescent="0.25">
      <c r="A47" t="s">
        <v>23</v>
      </c>
      <c r="B47" t="s">
        <v>168</v>
      </c>
      <c r="C47">
        <v>45</v>
      </c>
      <c r="D47" t="s">
        <v>428</v>
      </c>
      <c r="E47" t="s">
        <v>124</v>
      </c>
      <c r="H47" t="s">
        <v>90</v>
      </c>
      <c r="I47">
        <v>2</v>
      </c>
      <c r="U47" t="s">
        <v>168</v>
      </c>
    </row>
    <row r="48" spans="1:21" x14ac:dyDescent="0.25">
      <c r="A48" t="s">
        <v>23</v>
      </c>
      <c r="B48" t="s">
        <v>169</v>
      </c>
      <c r="C48">
        <v>46</v>
      </c>
      <c r="D48" t="s">
        <v>428</v>
      </c>
      <c r="E48" t="s">
        <v>124</v>
      </c>
      <c r="H48" t="s">
        <v>91</v>
      </c>
      <c r="I48">
        <v>2</v>
      </c>
      <c r="U48" t="s">
        <v>169</v>
      </c>
    </row>
    <row r="49" spans="1:21" x14ac:dyDescent="0.25">
      <c r="A49" t="s">
        <v>23</v>
      </c>
      <c r="B49" t="s">
        <v>170</v>
      </c>
      <c r="C49">
        <v>47</v>
      </c>
      <c r="D49" t="s">
        <v>428</v>
      </c>
      <c r="E49" t="s">
        <v>124</v>
      </c>
      <c r="H49" t="s">
        <v>46</v>
      </c>
      <c r="I49">
        <v>2</v>
      </c>
      <c r="U49" t="s">
        <v>170</v>
      </c>
    </row>
    <row r="50" spans="1:21" x14ac:dyDescent="0.25">
      <c r="A50" t="s">
        <v>23</v>
      </c>
      <c r="B50" t="s">
        <v>171</v>
      </c>
      <c r="C50">
        <v>48</v>
      </c>
      <c r="D50" t="s">
        <v>428</v>
      </c>
      <c r="E50" t="s">
        <v>124</v>
      </c>
      <c r="H50" t="s">
        <v>53</v>
      </c>
      <c r="I50">
        <v>2</v>
      </c>
      <c r="U50" t="s">
        <v>171</v>
      </c>
    </row>
    <row r="51" spans="1:21" x14ac:dyDescent="0.25">
      <c r="A51" t="s">
        <v>23</v>
      </c>
      <c r="B51" t="s">
        <v>172</v>
      </c>
      <c r="C51">
        <v>49</v>
      </c>
      <c r="D51" t="s">
        <v>428</v>
      </c>
      <c r="E51" t="s">
        <v>124</v>
      </c>
      <c r="H51" t="s">
        <v>60</v>
      </c>
      <c r="I51">
        <v>2</v>
      </c>
      <c r="U51" t="s">
        <v>172</v>
      </c>
    </row>
    <row r="52" spans="1:21" x14ac:dyDescent="0.25">
      <c r="A52" t="s">
        <v>23</v>
      </c>
      <c r="B52" t="s">
        <v>173</v>
      </c>
      <c r="C52">
        <v>50</v>
      </c>
      <c r="D52" t="s">
        <v>428</v>
      </c>
      <c r="E52" t="s">
        <v>124</v>
      </c>
      <c r="H52" t="s">
        <v>67</v>
      </c>
      <c r="I52">
        <v>2</v>
      </c>
      <c r="U52" t="s">
        <v>173</v>
      </c>
    </row>
    <row r="53" spans="1:21" x14ac:dyDescent="0.25">
      <c r="A53" t="s">
        <v>23</v>
      </c>
      <c r="B53" t="s">
        <v>174</v>
      </c>
      <c r="C53">
        <v>51</v>
      </c>
      <c r="D53" t="s">
        <v>428</v>
      </c>
      <c r="E53" t="s">
        <v>124</v>
      </c>
      <c r="H53" t="s">
        <v>94</v>
      </c>
      <c r="I53">
        <v>2</v>
      </c>
      <c r="U53" t="s">
        <v>174</v>
      </c>
    </row>
    <row r="54" spans="1:21" x14ac:dyDescent="0.25">
      <c r="A54" t="s">
        <v>23</v>
      </c>
      <c r="B54" t="s">
        <v>175</v>
      </c>
      <c r="C54">
        <v>52</v>
      </c>
      <c r="D54" t="s">
        <v>428</v>
      </c>
      <c r="E54" t="s">
        <v>124</v>
      </c>
      <c r="H54" t="s">
        <v>95</v>
      </c>
      <c r="I54">
        <v>2</v>
      </c>
      <c r="U54" t="s">
        <v>175</v>
      </c>
    </row>
    <row r="55" spans="1:21" x14ac:dyDescent="0.25">
      <c r="A55" t="s">
        <v>22</v>
      </c>
      <c r="B55" t="s">
        <v>176</v>
      </c>
      <c r="C55">
        <v>53</v>
      </c>
      <c r="D55" t="s">
        <v>428</v>
      </c>
      <c r="E55" t="s">
        <v>124</v>
      </c>
      <c r="H55" t="s">
        <v>306</v>
      </c>
      <c r="I55">
        <v>2</v>
      </c>
      <c r="U55" t="s">
        <v>176</v>
      </c>
    </row>
    <row r="56" spans="1:21" x14ac:dyDescent="0.25">
      <c r="A56" t="s">
        <v>23</v>
      </c>
      <c r="B56" t="s">
        <v>177</v>
      </c>
      <c r="C56">
        <v>54</v>
      </c>
      <c r="D56" t="s">
        <v>428</v>
      </c>
      <c r="E56" t="s">
        <v>124</v>
      </c>
      <c r="H56" t="s">
        <v>47</v>
      </c>
      <c r="I56">
        <v>2</v>
      </c>
      <c r="U56" t="s">
        <v>177</v>
      </c>
    </row>
    <row r="57" spans="1:21" x14ac:dyDescent="0.25">
      <c r="A57" t="s">
        <v>23</v>
      </c>
      <c r="B57" t="s">
        <v>178</v>
      </c>
      <c r="C57">
        <v>55</v>
      </c>
      <c r="D57" t="s">
        <v>428</v>
      </c>
      <c r="E57" t="s">
        <v>124</v>
      </c>
      <c r="H57" t="s">
        <v>54</v>
      </c>
      <c r="I57">
        <v>2</v>
      </c>
      <c r="U57" t="s">
        <v>178</v>
      </c>
    </row>
    <row r="58" spans="1:21" x14ac:dyDescent="0.25">
      <c r="A58" t="s">
        <v>23</v>
      </c>
      <c r="B58" t="s">
        <v>179</v>
      </c>
      <c r="C58">
        <v>56</v>
      </c>
      <c r="D58" t="s">
        <v>428</v>
      </c>
      <c r="E58" t="s">
        <v>124</v>
      </c>
      <c r="H58" t="s">
        <v>61</v>
      </c>
      <c r="I58">
        <v>2</v>
      </c>
      <c r="U58" t="s">
        <v>179</v>
      </c>
    </row>
    <row r="59" spans="1:21" x14ac:dyDescent="0.25">
      <c r="A59" t="s">
        <v>23</v>
      </c>
      <c r="B59" t="s">
        <v>180</v>
      </c>
      <c r="C59">
        <v>57</v>
      </c>
      <c r="D59" t="s">
        <v>428</v>
      </c>
      <c r="E59" t="s">
        <v>124</v>
      </c>
      <c r="H59" t="s">
        <v>68</v>
      </c>
      <c r="I59">
        <v>2</v>
      </c>
      <c r="U59" t="s">
        <v>180</v>
      </c>
    </row>
    <row r="60" spans="1:21" x14ac:dyDescent="0.25">
      <c r="A60" t="s">
        <v>23</v>
      </c>
      <c r="B60" t="s">
        <v>181</v>
      </c>
      <c r="C60">
        <v>58</v>
      </c>
      <c r="D60" t="s">
        <v>428</v>
      </c>
      <c r="E60" t="s">
        <v>124</v>
      </c>
      <c r="H60" t="s">
        <v>307</v>
      </c>
      <c r="I60">
        <v>2</v>
      </c>
      <c r="U60" t="s">
        <v>181</v>
      </c>
    </row>
    <row r="61" spans="1:21" x14ac:dyDescent="0.25">
      <c r="A61" t="s">
        <v>23</v>
      </c>
      <c r="B61" t="s">
        <v>182</v>
      </c>
      <c r="C61">
        <v>59</v>
      </c>
      <c r="D61" t="s">
        <v>428</v>
      </c>
      <c r="E61" t="s">
        <v>124</v>
      </c>
      <c r="H61" t="s">
        <v>308</v>
      </c>
      <c r="I61">
        <v>2</v>
      </c>
      <c r="U61" t="s">
        <v>182</v>
      </c>
    </row>
    <row r="62" spans="1:21" x14ac:dyDescent="0.25">
      <c r="A62" t="s">
        <v>23</v>
      </c>
      <c r="B62" t="s">
        <v>183</v>
      </c>
      <c r="C62">
        <v>60</v>
      </c>
      <c r="D62" t="s">
        <v>428</v>
      </c>
      <c r="E62" t="s">
        <v>124</v>
      </c>
      <c r="H62" t="s">
        <v>309</v>
      </c>
      <c r="I62">
        <v>2</v>
      </c>
      <c r="U62" t="s">
        <v>183</v>
      </c>
    </row>
    <row r="63" spans="1:21" x14ac:dyDescent="0.25">
      <c r="A63" t="s">
        <v>23</v>
      </c>
      <c r="B63" t="s">
        <v>184</v>
      </c>
      <c r="C63">
        <v>61</v>
      </c>
      <c r="D63" t="s">
        <v>428</v>
      </c>
      <c r="E63" t="s">
        <v>124</v>
      </c>
      <c r="H63" t="s">
        <v>310</v>
      </c>
      <c r="I63">
        <v>2</v>
      </c>
      <c r="U63" t="s">
        <v>184</v>
      </c>
    </row>
    <row r="64" spans="1:21" x14ac:dyDescent="0.25">
      <c r="A64" t="s">
        <v>23</v>
      </c>
      <c r="B64" t="s">
        <v>185</v>
      </c>
      <c r="C64">
        <v>62</v>
      </c>
      <c r="D64" t="s">
        <v>428</v>
      </c>
      <c r="E64" t="s">
        <v>124</v>
      </c>
      <c r="H64" t="s">
        <v>311</v>
      </c>
      <c r="I64">
        <v>2</v>
      </c>
      <c r="U64" t="s">
        <v>185</v>
      </c>
    </row>
    <row r="65" spans="1:21" x14ac:dyDescent="0.25">
      <c r="A65" t="s">
        <v>23</v>
      </c>
      <c r="B65" t="s">
        <v>186</v>
      </c>
      <c r="C65">
        <v>63</v>
      </c>
      <c r="D65" t="s">
        <v>428</v>
      </c>
      <c r="E65" t="s">
        <v>124</v>
      </c>
      <c r="H65" t="s">
        <v>312</v>
      </c>
      <c r="I65">
        <v>2</v>
      </c>
      <c r="U65" t="s">
        <v>186</v>
      </c>
    </row>
    <row r="66" spans="1:21" x14ac:dyDescent="0.25">
      <c r="A66" t="s">
        <v>23</v>
      </c>
      <c r="B66" t="s">
        <v>187</v>
      </c>
      <c r="C66">
        <v>64</v>
      </c>
      <c r="D66" t="s">
        <v>428</v>
      </c>
      <c r="E66" t="s">
        <v>124</v>
      </c>
      <c r="H66" t="s">
        <v>313</v>
      </c>
      <c r="I66">
        <v>2</v>
      </c>
      <c r="U66" t="s">
        <v>187</v>
      </c>
    </row>
    <row r="67" spans="1:21" x14ac:dyDescent="0.25">
      <c r="A67" t="s">
        <v>23</v>
      </c>
      <c r="B67" t="s">
        <v>188</v>
      </c>
      <c r="C67">
        <v>65</v>
      </c>
      <c r="D67" t="s">
        <v>428</v>
      </c>
      <c r="E67" t="s">
        <v>124</v>
      </c>
      <c r="H67" t="s">
        <v>314</v>
      </c>
      <c r="I67">
        <v>2</v>
      </c>
      <c r="U67" t="s">
        <v>188</v>
      </c>
    </row>
    <row r="68" spans="1:21" x14ac:dyDescent="0.25">
      <c r="A68" t="s">
        <v>23</v>
      </c>
      <c r="B68" t="s">
        <v>189</v>
      </c>
      <c r="C68">
        <v>66</v>
      </c>
      <c r="D68" t="s">
        <v>428</v>
      </c>
      <c r="E68" t="s">
        <v>124</v>
      </c>
      <c r="H68" t="s">
        <v>48</v>
      </c>
      <c r="I68">
        <v>2</v>
      </c>
      <c r="U68" t="s">
        <v>189</v>
      </c>
    </row>
    <row r="69" spans="1:21" x14ac:dyDescent="0.25">
      <c r="A69" t="s">
        <v>23</v>
      </c>
      <c r="B69" t="s">
        <v>190</v>
      </c>
      <c r="C69">
        <v>67</v>
      </c>
      <c r="D69" t="s">
        <v>428</v>
      </c>
      <c r="E69" t="s">
        <v>124</v>
      </c>
      <c r="H69" t="s">
        <v>55</v>
      </c>
      <c r="I69">
        <v>2</v>
      </c>
      <c r="U69" t="s">
        <v>190</v>
      </c>
    </row>
    <row r="70" spans="1:21" x14ac:dyDescent="0.25">
      <c r="A70" t="s">
        <v>23</v>
      </c>
      <c r="B70" t="s">
        <v>191</v>
      </c>
      <c r="C70">
        <v>68</v>
      </c>
      <c r="D70" t="s">
        <v>428</v>
      </c>
      <c r="E70" t="s">
        <v>124</v>
      </c>
      <c r="H70" t="s">
        <v>62</v>
      </c>
      <c r="I70">
        <v>2</v>
      </c>
      <c r="U70" t="s">
        <v>191</v>
      </c>
    </row>
    <row r="71" spans="1:21" x14ac:dyDescent="0.25">
      <c r="A71" t="s">
        <v>23</v>
      </c>
      <c r="B71" t="s">
        <v>192</v>
      </c>
      <c r="C71">
        <v>69</v>
      </c>
      <c r="D71" t="s">
        <v>428</v>
      </c>
      <c r="E71" t="s">
        <v>124</v>
      </c>
      <c r="H71" t="s">
        <v>69</v>
      </c>
      <c r="I71">
        <v>2</v>
      </c>
      <c r="U71" t="s">
        <v>192</v>
      </c>
    </row>
    <row r="72" spans="1:21" x14ac:dyDescent="0.25">
      <c r="A72" t="s">
        <v>23</v>
      </c>
      <c r="B72" t="s">
        <v>193</v>
      </c>
      <c r="C72">
        <v>70</v>
      </c>
      <c r="D72" t="s">
        <v>428</v>
      </c>
      <c r="E72" t="s">
        <v>124</v>
      </c>
      <c r="H72" t="s">
        <v>315</v>
      </c>
      <c r="I72">
        <v>2</v>
      </c>
      <c r="U72" t="s">
        <v>193</v>
      </c>
    </row>
    <row r="73" spans="1:21" x14ac:dyDescent="0.25">
      <c r="A73" t="s">
        <v>23</v>
      </c>
      <c r="B73" t="s">
        <v>194</v>
      </c>
      <c r="C73">
        <v>71</v>
      </c>
      <c r="D73" t="s">
        <v>428</v>
      </c>
      <c r="E73" t="s">
        <v>124</v>
      </c>
      <c r="H73" t="s">
        <v>316</v>
      </c>
      <c r="I73">
        <v>2</v>
      </c>
      <c r="U73" t="s">
        <v>194</v>
      </c>
    </row>
    <row r="74" spans="1:21" x14ac:dyDescent="0.25">
      <c r="A74" t="s">
        <v>23</v>
      </c>
      <c r="B74" t="s">
        <v>195</v>
      </c>
      <c r="C74">
        <v>72</v>
      </c>
      <c r="D74" t="s">
        <v>428</v>
      </c>
      <c r="E74" t="s">
        <v>124</v>
      </c>
      <c r="H74" t="s">
        <v>317</v>
      </c>
      <c r="I74">
        <v>2</v>
      </c>
      <c r="U74" t="s">
        <v>195</v>
      </c>
    </row>
    <row r="75" spans="1:21" x14ac:dyDescent="0.25">
      <c r="A75" t="s">
        <v>23</v>
      </c>
      <c r="B75" t="s">
        <v>196</v>
      </c>
      <c r="C75">
        <v>73</v>
      </c>
      <c r="D75" t="s">
        <v>428</v>
      </c>
      <c r="E75" t="s">
        <v>124</v>
      </c>
      <c r="H75" t="s">
        <v>318</v>
      </c>
      <c r="I75">
        <v>2</v>
      </c>
      <c r="U75" t="s">
        <v>196</v>
      </c>
    </row>
    <row r="76" spans="1:21" x14ac:dyDescent="0.25">
      <c r="A76" t="s">
        <v>23</v>
      </c>
      <c r="B76" t="s">
        <v>197</v>
      </c>
      <c r="C76">
        <v>74</v>
      </c>
      <c r="D76" t="s">
        <v>428</v>
      </c>
      <c r="E76" t="s">
        <v>124</v>
      </c>
      <c r="H76" t="s">
        <v>319</v>
      </c>
      <c r="I76">
        <v>2</v>
      </c>
      <c r="U76" t="s">
        <v>197</v>
      </c>
    </row>
    <row r="77" spans="1:21" x14ac:dyDescent="0.25">
      <c r="A77" t="s">
        <v>23</v>
      </c>
      <c r="B77" t="s">
        <v>198</v>
      </c>
      <c r="C77">
        <v>75</v>
      </c>
      <c r="D77" t="s">
        <v>428</v>
      </c>
      <c r="E77" t="s">
        <v>124</v>
      </c>
      <c r="H77" t="s">
        <v>320</v>
      </c>
      <c r="I77">
        <v>2</v>
      </c>
      <c r="U77" t="s">
        <v>198</v>
      </c>
    </row>
    <row r="78" spans="1:21" x14ac:dyDescent="0.25">
      <c r="A78" t="s">
        <v>23</v>
      </c>
      <c r="B78" t="s">
        <v>199</v>
      </c>
      <c r="C78">
        <v>76</v>
      </c>
      <c r="D78" t="s">
        <v>428</v>
      </c>
      <c r="E78" t="s">
        <v>124</v>
      </c>
      <c r="H78" t="s">
        <v>321</v>
      </c>
      <c r="I78">
        <v>2</v>
      </c>
      <c r="U78" t="s">
        <v>199</v>
      </c>
    </row>
    <row r="79" spans="1:21" x14ac:dyDescent="0.25">
      <c r="A79" t="s">
        <v>23</v>
      </c>
      <c r="B79" t="s">
        <v>200</v>
      </c>
      <c r="C79">
        <v>77</v>
      </c>
      <c r="D79" t="s">
        <v>428</v>
      </c>
      <c r="E79" t="s">
        <v>124</v>
      </c>
      <c r="H79" t="s">
        <v>322</v>
      </c>
      <c r="I79">
        <v>2</v>
      </c>
      <c r="U79" t="s">
        <v>200</v>
      </c>
    </row>
    <row r="80" spans="1:21" x14ac:dyDescent="0.25">
      <c r="A80" t="s">
        <v>22</v>
      </c>
      <c r="B80" t="s">
        <v>201</v>
      </c>
      <c r="C80">
        <v>78</v>
      </c>
      <c r="D80" t="s">
        <v>428</v>
      </c>
      <c r="E80" t="s">
        <v>124</v>
      </c>
      <c r="H80" t="s">
        <v>306</v>
      </c>
      <c r="I80">
        <v>2</v>
      </c>
      <c r="U80" t="s">
        <v>201</v>
      </c>
    </row>
    <row r="81" spans="1:21" x14ac:dyDescent="0.25">
      <c r="A81" t="s">
        <v>23</v>
      </c>
      <c r="B81" t="s">
        <v>202</v>
      </c>
      <c r="C81">
        <v>79</v>
      </c>
      <c r="D81" t="s">
        <v>428</v>
      </c>
      <c r="E81" t="s">
        <v>124</v>
      </c>
      <c r="H81" t="s">
        <v>323</v>
      </c>
      <c r="I81">
        <v>2</v>
      </c>
      <c r="U81" t="s">
        <v>202</v>
      </c>
    </row>
    <row r="82" spans="1:21" x14ac:dyDescent="0.25">
      <c r="A82" t="s">
        <v>23</v>
      </c>
      <c r="B82" t="s">
        <v>203</v>
      </c>
      <c r="C82">
        <v>80</v>
      </c>
      <c r="D82" t="s">
        <v>428</v>
      </c>
      <c r="E82" t="s">
        <v>124</v>
      </c>
      <c r="H82" t="s">
        <v>324</v>
      </c>
      <c r="I82">
        <v>2</v>
      </c>
      <c r="U82" t="s">
        <v>203</v>
      </c>
    </row>
    <row r="83" spans="1:21" x14ac:dyDescent="0.25">
      <c r="A83" t="s">
        <v>23</v>
      </c>
      <c r="B83" t="s">
        <v>204</v>
      </c>
      <c r="C83">
        <v>81</v>
      </c>
      <c r="D83" t="s">
        <v>428</v>
      </c>
      <c r="E83" t="s">
        <v>124</v>
      </c>
      <c r="H83" t="s">
        <v>325</v>
      </c>
      <c r="I83">
        <v>2</v>
      </c>
      <c r="U83" t="s">
        <v>204</v>
      </c>
    </row>
    <row r="84" spans="1:21" x14ac:dyDescent="0.25">
      <c r="A84" t="s">
        <v>23</v>
      </c>
      <c r="B84" t="s">
        <v>205</v>
      </c>
      <c r="C84">
        <v>82</v>
      </c>
      <c r="D84" t="s">
        <v>428</v>
      </c>
      <c r="E84" t="s">
        <v>124</v>
      </c>
      <c r="H84" t="s">
        <v>326</v>
      </c>
      <c r="I84">
        <v>2</v>
      </c>
      <c r="U84" t="s">
        <v>205</v>
      </c>
    </row>
    <row r="85" spans="1:21" x14ac:dyDescent="0.25">
      <c r="A85" t="s">
        <v>23</v>
      </c>
      <c r="B85" t="s">
        <v>206</v>
      </c>
      <c r="C85">
        <v>83</v>
      </c>
      <c r="D85" t="s">
        <v>428</v>
      </c>
      <c r="E85" t="s">
        <v>124</v>
      </c>
      <c r="H85" t="s">
        <v>327</v>
      </c>
      <c r="I85">
        <v>2</v>
      </c>
      <c r="U85" t="s">
        <v>206</v>
      </c>
    </row>
    <row r="86" spans="1:21" x14ac:dyDescent="0.25">
      <c r="A86" t="s">
        <v>23</v>
      </c>
      <c r="B86" t="s">
        <v>207</v>
      </c>
      <c r="C86">
        <v>84</v>
      </c>
      <c r="D86" t="s">
        <v>428</v>
      </c>
      <c r="E86" t="s">
        <v>124</v>
      </c>
      <c r="H86" t="s">
        <v>328</v>
      </c>
      <c r="I86">
        <v>2</v>
      </c>
      <c r="U86" t="s">
        <v>207</v>
      </c>
    </row>
    <row r="87" spans="1:21" x14ac:dyDescent="0.25">
      <c r="A87" t="s">
        <v>23</v>
      </c>
      <c r="B87" t="s">
        <v>208</v>
      </c>
      <c r="C87">
        <v>85</v>
      </c>
      <c r="D87" t="s">
        <v>428</v>
      </c>
      <c r="E87" t="s">
        <v>124</v>
      </c>
      <c r="H87" t="s">
        <v>329</v>
      </c>
      <c r="I87">
        <v>2</v>
      </c>
      <c r="U87" t="s">
        <v>208</v>
      </c>
    </row>
    <row r="88" spans="1:21" x14ac:dyDescent="0.25">
      <c r="A88" t="s">
        <v>23</v>
      </c>
      <c r="B88" t="s">
        <v>209</v>
      </c>
      <c r="C88">
        <v>86</v>
      </c>
      <c r="D88" t="s">
        <v>428</v>
      </c>
      <c r="E88" t="s">
        <v>124</v>
      </c>
      <c r="H88" t="s">
        <v>330</v>
      </c>
      <c r="I88">
        <v>2</v>
      </c>
      <c r="U88" t="s">
        <v>209</v>
      </c>
    </row>
    <row r="89" spans="1:21" x14ac:dyDescent="0.25">
      <c r="A89" t="s">
        <v>23</v>
      </c>
      <c r="B89" t="s">
        <v>210</v>
      </c>
      <c r="C89">
        <v>87</v>
      </c>
      <c r="D89" t="s">
        <v>428</v>
      </c>
      <c r="E89" t="s">
        <v>124</v>
      </c>
      <c r="H89" t="s">
        <v>331</v>
      </c>
      <c r="I89">
        <v>2</v>
      </c>
      <c r="U89" t="s">
        <v>210</v>
      </c>
    </row>
    <row r="90" spans="1:21" x14ac:dyDescent="0.25">
      <c r="A90" t="s">
        <v>23</v>
      </c>
      <c r="B90" t="s">
        <v>211</v>
      </c>
      <c r="C90">
        <v>88</v>
      </c>
      <c r="D90" t="s">
        <v>428</v>
      </c>
      <c r="E90" t="s">
        <v>124</v>
      </c>
      <c r="H90" t="s">
        <v>332</v>
      </c>
      <c r="I90">
        <v>2</v>
      </c>
      <c r="U90" t="s">
        <v>211</v>
      </c>
    </row>
    <row r="91" spans="1:21" x14ac:dyDescent="0.25">
      <c r="A91" t="s">
        <v>23</v>
      </c>
      <c r="B91" t="s">
        <v>212</v>
      </c>
      <c r="C91">
        <v>89</v>
      </c>
      <c r="D91" t="s">
        <v>428</v>
      </c>
      <c r="E91" t="s">
        <v>124</v>
      </c>
      <c r="H91" t="s">
        <v>333</v>
      </c>
      <c r="I91">
        <v>2</v>
      </c>
      <c r="U91" t="s">
        <v>212</v>
      </c>
    </row>
    <row r="92" spans="1:21" x14ac:dyDescent="0.25">
      <c r="A92" t="s">
        <v>23</v>
      </c>
      <c r="B92" t="s">
        <v>213</v>
      </c>
      <c r="C92">
        <v>90</v>
      </c>
      <c r="D92" t="s">
        <v>428</v>
      </c>
      <c r="E92" t="s">
        <v>124</v>
      </c>
      <c r="H92" t="s">
        <v>334</v>
      </c>
      <c r="I92">
        <v>2</v>
      </c>
      <c r="U92" t="s">
        <v>213</v>
      </c>
    </row>
    <row r="93" spans="1:21" x14ac:dyDescent="0.25">
      <c r="A93" t="s">
        <v>23</v>
      </c>
      <c r="B93" t="s">
        <v>214</v>
      </c>
      <c r="C93">
        <v>91</v>
      </c>
      <c r="D93" t="s">
        <v>428</v>
      </c>
      <c r="E93" t="s">
        <v>124</v>
      </c>
      <c r="H93" t="s">
        <v>335</v>
      </c>
      <c r="I93">
        <v>2</v>
      </c>
      <c r="U93" t="s">
        <v>214</v>
      </c>
    </row>
    <row r="94" spans="1:21" x14ac:dyDescent="0.25">
      <c r="A94" t="s">
        <v>23</v>
      </c>
      <c r="B94" t="s">
        <v>215</v>
      </c>
      <c r="C94">
        <v>92</v>
      </c>
      <c r="D94" t="s">
        <v>428</v>
      </c>
      <c r="E94" t="s">
        <v>124</v>
      </c>
      <c r="H94" t="s">
        <v>336</v>
      </c>
      <c r="I94">
        <v>2</v>
      </c>
      <c r="U94" t="s">
        <v>215</v>
      </c>
    </row>
    <row r="95" spans="1:21" x14ac:dyDescent="0.25">
      <c r="A95" t="s">
        <v>23</v>
      </c>
      <c r="B95" t="s">
        <v>216</v>
      </c>
      <c r="C95">
        <v>93</v>
      </c>
      <c r="D95" t="s">
        <v>428</v>
      </c>
      <c r="E95" t="s">
        <v>124</v>
      </c>
      <c r="H95" t="s">
        <v>337</v>
      </c>
      <c r="I95">
        <v>2</v>
      </c>
      <c r="U95" t="s">
        <v>216</v>
      </c>
    </row>
    <row r="96" spans="1:21" x14ac:dyDescent="0.25">
      <c r="A96" t="s">
        <v>23</v>
      </c>
      <c r="B96" t="s">
        <v>217</v>
      </c>
      <c r="C96">
        <v>94</v>
      </c>
      <c r="D96" t="s">
        <v>428</v>
      </c>
      <c r="E96" t="s">
        <v>124</v>
      </c>
      <c r="H96" t="s">
        <v>338</v>
      </c>
      <c r="I96">
        <v>2</v>
      </c>
      <c r="U96" t="s">
        <v>217</v>
      </c>
    </row>
    <row r="97" spans="1:21" x14ac:dyDescent="0.25">
      <c r="A97" t="s">
        <v>23</v>
      </c>
      <c r="B97" t="s">
        <v>218</v>
      </c>
      <c r="C97">
        <v>95</v>
      </c>
      <c r="D97" t="s">
        <v>428</v>
      </c>
      <c r="E97" t="s">
        <v>124</v>
      </c>
      <c r="H97" t="s">
        <v>339</v>
      </c>
      <c r="I97">
        <v>2</v>
      </c>
      <c r="U97" t="s">
        <v>218</v>
      </c>
    </row>
    <row r="98" spans="1:21" x14ac:dyDescent="0.25">
      <c r="A98" t="s">
        <v>23</v>
      </c>
      <c r="B98" t="s">
        <v>219</v>
      </c>
      <c r="C98">
        <v>96</v>
      </c>
      <c r="D98" t="s">
        <v>428</v>
      </c>
      <c r="E98" t="s">
        <v>124</v>
      </c>
      <c r="H98" t="s">
        <v>340</v>
      </c>
      <c r="I98">
        <v>2</v>
      </c>
      <c r="U98" t="s">
        <v>219</v>
      </c>
    </row>
    <row r="99" spans="1:21" x14ac:dyDescent="0.25">
      <c r="A99" t="s">
        <v>23</v>
      </c>
      <c r="B99" t="s">
        <v>220</v>
      </c>
      <c r="C99">
        <v>97</v>
      </c>
      <c r="D99" t="s">
        <v>428</v>
      </c>
      <c r="E99" t="s">
        <v>124</v>
      </c>
      <c r="H99" t="s">
        <v>341</v>
      </c>
      <c r="I99">
        <v>2</v>
      </c>
      <c r="U99" t="s">
        <v>220</v>
      </c>
    </row>
    <row r="100" spans="1:21" x14ac:dyDescent="0.25">
      <c r="A100" t="s">
        <v>23</v>
      </c>
      <c r="B100" t="s">
        <v>221</v>
      </c>
      <c r="C100">
        <v>98</v>
      </c>
      <c r="D100" t="s">
        <v>428</v>
      </c>
      <c r="E100" t="s">
        <v>124</v>
      </c>
      <c r="H100" t="s">
        <v>342</v>
      </c>
      <c r="I100">
        <v>2</v>
      </c>
      <c r="U100" t="s">
        <v>221</v>
      </c>
    </row>
    <row r="101" spans="1:21" x14ac:dyDescent="0.25">
      <c r="A101" t="s">
        <v>23</v>
      </c>
      <c r="B101" t="s">
        <v>222</v>
      </c>
      <c r="C101">
        <v>99</v>
      </c>
      <c r="D101" t="s">
        <v>428</v>
      </c>
      <c r="E101" t="s">
        <v>124</v>
      </c>
      <c r="H101" t="s">
        <v>343</v>
      </c>
      <c r="I101">
        <v>2</v>
      </c>
      <c r="U101" t="s">
        <v>222</v>
      </c>
    </row>
    <row r="102" spans="1:21" x14ac:dyDescent="0.25">
      <c r="A102" t="s">
        <v>23</v>
      </c>
      <c r="B102" t="s">
        <v>223</v>
      </c>
      <c r="C102">
        <v>100</v>
      </c>
      <c r="D102" t="s">
        <v>428</v>
      </c>
      <c r="E102" t="s">
        <v>124</v>
      </c>
      <c r="H102" t="s">
        <v>344</v>
      </c>
      <c r="I102">
        <v>2</v>
      </c>
      <c r="U102" t="s">
        <v>223</v>
      </c>
    </row>
    <row r="103" spans="1:21" x14ac:dyDescent="0.25">
      <c r="A103" t="s">
        <v>23</v>
      </c>
      <c r="B103" t="s">
        <v>224</v>
      </c>
      <c r="C103">
        <v>101</v>
      </c>
      <c r="D103" t="s">
        <v>428</v>
      </c>
      <c r="E103" t="s">
        <v>124</v>
      </c>
      <c r="H103" t="s">
        <v>345</v>
      </c>
      <c r="I103">
        <v>2</v>
      </c>
      <c r="U103" t="s">
        <v>224</v>
      </c>
    </row>
    <row r="104" spans="1:21" x14ac:dyDescent="0.25">
      <c r="A104" t="s">
        <v>23</v>
      </c>
      <c r="B104" t="s">
        <v>225</v>
      </c>
      <c r="C104">
        <v>102</v>
      </c>
      <c r="D104" t="s">
        <v>428</v>
      </c>
      <c r="E104" t="s">
        <v>124</v>
      </c>
      <c r="H104" t="s">
        <v>346</v>
      </c>
      <c r="I104">
        <v>2</v>
      </c>
      <c r="U104" t="s">
        <v>225</v>
      </c>
    </row>
    <row r="105" spans="1:21" x14ac:dyDescent="0.25">
      <c r="A105" t="s">
        <v>22</v>
      </c>
      <c r="B105" t="s">
        <v>226</v>
      </c>
      <c r="C105">
        <v>103</v>
      </c>
      <c r="D105" t="s">
        <v>428</v>
      </c>
      <c r="E105" t="s">
        <v>124</v>
      </c>
      <c r="H105" t="s">
        <v>306</v>
      </c>
      <c r="I105">
        <v>2</v>
      </c>
      <c r="U105" t="s">
        <v>226</v>
      </c>
    </row>
    <row r="106" spans="1:21" x14ac:dyDescent="0.25">
      <c r="A106" t="s">
        <v>22</v>
      </c>
      <c r="B106" t="s">
        <v>425</v>
      </c>
      <c r="C106">
        <v>104</v>
      </c>
      <c r="D106" t="s">
        <v>428</v>
      </c>
      <c r="E106" t="s">
        <v>124</v>
      </c>
      <c r="H106" t="s">
        <v>427</v>
      </c>
      <c r="I106">
        <v>2</v>
      </c>
      <c r="U106" t="s">
        <v>425</v>
      </c>
    </row>
    <row r="107" spans="1:21" x14ac:dyDescent="0.25">
      <c r="A107" t="s">
        <v>22</v>
      </c>
      <c r="B107" t="s">
        <v>227</v>
      </c>
      <c r="C107">
        <v>105</v>
      </c>
      <c r="D107" t="s">
        <v>428</v>
      </c>
      <c r="E107" t="s">
        <v>124</v>
      </c>
      <c r="H107" t="s">
        <v>73</v>
      </c>
      <c r="I107">
        <v>2</v>
      </c>
      <c r="U107" t="s">
        <v>227</v>
      </c>
    </row>
    <row r="108" spans="1:21" x14ac:dyDescent="0.25">
      <c r="A108" t="s">
        <v>23</v>
      </c>
      <c r="B108" t="s">
        <v>228</v>
      </c>
      <c r="C108">
        <v>106</v>
      </c>
      <c r="D108" t="s">
        <v>428</v>
      </c>
      <c r="E108" t="s">
        <v>124</v>
      </c>
      <c r="H108" t="s">
        <v>348</v>
      </c>
      <c r="I108">
        <v>2</v>
      </c>
      <c r="U108" t="s">
        <v>228</v>
      </c>
    </row>
    <row r="109" spans="1:21" x14ac:dyDescent="0.25">
      <c r="A109" t="s">
        <v>23</v>
      </c>
      <c r="B109" t="s">
        <v>229</v>
      </c>
      <c r="C109">
        <v>107</v>
      </c>
      <c r="D109" t="s">
        <v>428</v>
      </c>
      <c r="E109" t="s">
        <v>124</v>
      </c>
      <c r="H109" t="s">
        <v>349</v>
      </c>
      <c r="I109">
        <v>2</v>
      </c>
      <c r="U109" t="s">
        <v>229</v>
      </c>
    </row>
    <row r="110" spans="1:21" x14ac:dyDescent="0.25">
      <c r="A110" t="s">
        <v>23</v>
      </c>
      <c r="B110" t="s">
        <v>230</v>
      </c>
      <c r="C110">
        <v>108</v>
      </c>
      <c r="D110" t="s">
        <v>428</v>
      </c>
      <c r="E110" t="s">
        <v>124</v>
      </c>
      <c r="H110" t="s">
        <v>350</v>
      </c>
      <c r="I110">
        <v>2</v>
      </c>
      <c r="U110" t="s">
        <v>230</v>
      </c>
    </row>
    <row r="111" spans="1:21" x14ac:dyDescent="0.25">
      <c r="A111" t="s">
        <v>23</v>
      </c>
      <c r="B111" t="s">
        <v>231</v>
      </c>
      <c r="C111">
        <v>109</v>
      </c>
      <c r="D111" t="s">
        <v>428</v>
      </c>
      <c r="E111" t="s">
        <v>124</v>
      </c>
      <c r="H111" t="s">
        <v>351</v>
      </c>
      <c r="I111">
        <v>2</v>
      </c>
      <c r="U111" t="s">
        <v>231</v>
      </c>
    </row>
    <row r="112" spans="1:21" x14ac:dyDescent="0.25">
      <c r="A112" t="s">
        <v>23</v>
      </c>
      <c r="B112" t="s">
        <v>232</v>
      </c>
      <c r="C112">
        <v>110</v>
      </c>
      <c r="D112" t="s">
        <v>428</v>
      </c>
      <c r="E112" t="s">
        <v>124</v>
      </c>
      <c r="H112" t="s">
        <v>352</v>
      </c>
      <c r="I112">
        <v>2</v>
      </c>
      <c r="U112" t="s">
        <v>232</v>
      </c>
    </row>
    <row r="113" spans="1:21" x14ac:dyDescent="0.25">
      <c r="A113" t="s">
        <v>23</v>
      </c>
      <c r="B113" t="s">
        <v>233</v>
      </c>
      <c r="C113">
        <v>111</v>
      </c>
      <c r="D113" t="s">
        <v>428</v>
      </c>
      <c r="E113" t="s">
        <v>124</v>
      </c>
      <c r="H113" t="s">
        <v>353</v>
      </c>
      <c r="I113">
        <v>2</v>
      </c>
      <c r="U113" t="s">
        <v>233</v>
      </c>
    </row>
    <row r="114" spans="1:21" x14ac:dyDescent="0.25">
      <c r="A114" t="s">
        <v>23</v>
      </c>
      <c r="B114" t="s">
        <v>234</v>
      </c>
      <c r="C114">
        <v>112</v>
      </c>
      <c r="D114" t="s">
        <v>428</v>
      </c>
      <c r="E114" t="s">
        <v>124</v>
      </c>
      <c r="H114" t="s">
        <v>354</v>
      </c>
      <c r="I114">
        <v>2</v>
      </c>
      <c r="U114" t="s">
        <v>234</v>
      </c>
    </row>
    <row r="115" spans="1:21" x14ac:dyDescent="0.25">
      <c r="A115" t="s">
        <v>23</v>
      </c>
      <c r="B115" t="s">
        <v>235</v>
      </c>
      <c r="C115">
        <v>113</v>
      </c>
      <c r="D115" t="s">
        <v>428</v>
      </c>
      <c r="E115" t="s">
        <v>124</v>
      </c>
      <c r="H115" t="s">
        <v>355</v>
      </c>
      <c r="I115">
        <v>2</v>
      </c>
      <c r="U115" t="s">
        <v>235</v>
      </c>
    </row>
    <row r="116" spans="1:21" x14ac:dyDescent="0.25">
      <c r="A116" t="s">
        <v>23</v>
      </c>
      <c r="B116" t="s">
        <v>236</v>
      </c>
      <c r="C116">
        <v>114</v>
      </c>
      <c r="D116" t="s">
        <v>428</v>
      </c>
      <c r="E116" t="s">
        <v>124</v>
      </c>
      <c r="H116" t="s">
        <v>356</v>
      </c>
      <c r="I116">
        <v>2</v>
      </c>
      <c r="U116" t="s">
        <v>236</v>
      </c>
    </row>
    <row r="117" spans="1:21" x14ac:dyDescent="0.25">
      <c r="A117" t="s">
        <v>23</v>
      </c>
      <c r="B117" t="s">
        <v>237</v>
      </c>
      <c r="C117">
        <v>115</v>
      </c>
      <c r="D117" t="s">
        <v>428</v>
      </c>
      <c r="E117" t="s">
        <v>124</v>
      </c>
      <c r="H117" t="s">
        <v>357</v>
      </c>
      <c r="I117">
        <v>2</v>
      </c>
      <c r="U117" t="s">
        <v>237</v>
      </c>
    </row>
    <row r="118" spans="1:21" x14ac:dyDescent="0.25">
      <c r="A118" t="s">
        <v>23</v>
      </c>
      <c r="B118" t="s">
        <v>238</v>
      </c>
      <c r="C118">
        <v>116</v>
      </c>
      <c r="D118" t="s">
        <v>428</v>
      </c>
      <c r="E118" t="s">
        <v>124</v>
      </c>
      <c r="H118" t="s">
        <v>358</v>
      </c>
      <c r="I118">
        <v>2</v>
      </c>
      <c r="U118" t="s">
        <v>238</v>
      </c>
    </row>
    <row r="119" spans="1:21" x14ac:dyDescent="0.25">
      <c r="A119" t="s">
        <v>23</v>
      </c>
      <c r="B119" t="s">
        <v>239</v>
      </c>
      <c r="C119">
        <v>117</v>
      </c>
      <c r="D119" t="s">
        <v>428</v>
      </c>
      <c r="E119" t="s">
        <v>124</v>
      </c>
      <c r="H119" t="s">
        <v>359</v>
      </c>
      <c r="I119">
        <v>2</v>
      </c>
      <c r="U119" t="s">
        <v>239</v>
      </c>
    </row>
    <row r="120" spans="1:21" x14ac:dyDescent="0.25">
      <c r="A120" t="s">
        <v>23</v>
      </c>
      <c r="B120" t="s">
        <v>240</v>
      </c>
      <c r="C120">
        <v>118</v>
      </c>
      <c r="D120" t="s">
        <v>428</v>
      </c>
      <c r="E120" t="s">
        <v>124</v>
      </c>
      <c r="H120" t="s">
        <v>360</v>
      </c>
      <c r="I120">
        <v>2</v>
      </c>
      <c r="U120" t="s">
        <v>240</v>
      </c>
    </row>
    <row r="121" spans="1:21" x14ac:dyDescent="0.25">
      <c r="A121" t="s">
        <v>23</v>
      </c>
      <c r="B121" t="s">
        <v>241</v>
      </c>
      <c r="C121">
        <v>119</v>
      </c>
      <c r="D121" t="s">
        <v>428</v>
      </c>
      <c r="E121" t="s">
        <v>124</v>
      </c>
      <c r="H121" t="s">
        <v>361</v>
      </c>
      <c r="I121">
        <v>2</v>
      </c>
      <c r="U121" t="s">
        <v>241</v>
      </c>
    </row>
    <row r="122" spans="1:21" x14ac:dyDescent="0.25">
      <c r="A122" t="s">
        <v>23</v>
      </c>
      <c r="B122" t="s">
        <v>242</v>
      </c>
      <c r="C122">
        <v>120</v>
      </c>
      <c r="D122" t="s">
        <v>428</v>
      </c>
      <c r="E122" t="s">
        <v>124</v>
      </c>
      <c r="H122" t="s">
        <v>362</v>
      </c>
      <c r="I122">
        <v>2</v>
      </c>
      <c r="U122" t="s">
        <v>242</v>
      </c>
    </row>
    <row r="123" spans="1:21" x14ac:dyDescent="0.25">
      <c r="A123" t="s">
        <v>23</v>
      </c>
      <c r="B123" t="s">
        <v>243</v>
      </c>
      <c r="C123">
        <v>121</v>
      </c>
      <c r="D123" t="s">
        <v>428</v>
      </c>
      <c r="E123" t="s">
        <v>124</v>
      </c>
      <c r="H123" t="s">
        <v>363</v>
      </c>
      <c r="I123">
        <v>2</v>
      </c>
      <c r="U123" t="s">
        <v>243</v>
      </c>
    </row>
    <row r="124" spans="1:21" x14ac:dyDescent="0.25">
      <c r="A124" t="s">
        <v>23</v>
      </c>
      <c r="B124" t="s">
        <v>244</v>
      </c>
      <c r="C124">
        <v>122</v>
      </c>
      <c r="D124" t="s">
        <v>428</v>
      </c>
      <c r="E124" t="s">
        <v>124</v>
      </c>
      <c r="H124" t="s">
        <v>364</v>
      </c>
      <c r="U124" t="s">
        <v>244</v>
      </c>
    </row>
    <row r="125" spans="1:21" x14ac:dyDescent="0.25">
      <c r="A125" t="s">
        <v>23</v>
      </c>
      <c r="B125" t="s">
        <v>245</v>
      </c>
      <c r="C125">
        <v>123</v>
      </c>
      <c r="D125" t="s">
        <v>428</v>
      </c>
      <c r="E125" t="s">
        <v>124</v>
      </c>
      <c r="H125" t="s">
        <v>365</v>
      </c>
      <c r="U125" t="s">
        <v>245</v>
      </c>
    </row>
    <row r="126" spans="1:21" x14ac:dyDescent="0.25">
      <c r="A126" t="s">
        <v>23</v>
      </c>
      <c r="B126" t="s">
        <v>246</v>
      </c>
      <c r="C126">
        <v>124</v>
      </c>
      <c r="D126" t="s">
        <v>428</v>
      </c>
      <c r="E126" t="s">
        <v>124</v>
      </c>
      <c r="H126" t="s">
        <v>366</v>
      </c>
      <c r="U126" t="s">
        <v>246</v>
      </c>
    </row>
    <row r="127" spans="1:21" x14ac:dyDescent="0.25">
      <c r="A127" t="s">
        <v>23</v>
      </c>
      <c r="B127" t="s">
        <v>247</v>
      </c>
      <c r="C127">
        <v>125</v>
      </c>
      <c r="D127" t="s">
        <v>428</v>
      </c>
      <c r="E127" t="s">
        <v>124</v>
      </c>
      <c r="H127" t="s">
        <v>367</v>
      </c>
      <c r="U127" t="s">
        <v>247</v>
      </c>
    </row>
    <row r="128" spans="1:21" x14ac:dyDescent="0.25">
      <c r="A128" t="s">
        <v>23</v>
      </c>
      <c r="B128" t="s">
        <v>248</v>
      </c>
      <c r="C128">
        <v>126</v>
      </c>
      <c r="D128" t="s">
        <v>428</v>
      </c>
      <c r="E128" t="s">
        <v>124</v>
      </c>
      <c r="H128" t="s">
        <v>368</v>
      </c>
      <c r="U128" t="s">
        <v>248</v>
      </c>
    </row>
    <row r="129" spans="1:21" x14ac:dyDescent="0.25">
      <c r="A129" t="s">
        <v>23</v>
      </c>
      <c r="B129" t="s">
        <v>249</v>
      </c>
      <c r="C129">
        <v>127</v>
      </c>
      <c r="D129" t="s">
        <v>428</v>
      </c>
      <c r="E129" t="s">
        <v>124</v>
      </c>
      <c r="H129" t="s">
        <v>369</v>
      </c>
      <c r="U129" t="s">
        <v>249</v>
      </c>
    </row>
    <row r="130" spans="1:21" x14ac:dyDescent="0.25">
      <c r="A130" t="s">
        <v>23</v>
      </c>
      <c r="B130" t="s">
        <v>250</v>
      </c>
      <c r="C130">
        <v>128</v>
      </c>
      <c r="D130" t="s">
        <v>428</v>
      </c>
      <c r="E130" t="s">
        <v>124</v>
      </c>
      <c r="H130" t="s">
        <v>370</v>
      </c>
      <c r="U130" t="s">
        <v>250</v>
      </c>
    </row>
    <row r="131" spans="1:21" x14ac:dyDescent="0.25">
      <c r="A131" t="s">
        <v>23</v>
      </c>
      <c r="B131" t="s">
        <v>251</v>
      </c>
      <c r="C131">
        <v>129</v>
      </c>
      <c r="D131" t="s">
        <v>428</v>
      </c>
      <c r="E131" t="s">
        <v>124</v>
      </c>
      <c r="H131" t="s">
        <v>371</v>
      </c>
      <c r="U131" t="s">
        <v>251</v>
      </c>
    </row>
    <row r="132" spans="1:21" x14ac:dyDescent="0.25">
      <c r="A132" t="s">
        <v>22</v>
      </c>
      <c r="B132" t="s">
        <v>252</v>
      </c>
      <c r="C132">
        <v>130</v>
      </c>
      <c r="D132" t="s">
        <v>428</v>
      </c>
      <c r="E132" t="s">
        <v>124</v>
      </c>
      <c r="H132" t="s">
        <v>306</v>
      </c>
      <c r="U132" t="s">
        <v>252</v>
      </c>
    </row>
    <row r="133" spans="1:21" x14ac:dyDescent="0.25">
      <c r="A133" t="s">
        <v>23</v>
      </c>
      <c r="B133" t="s">
        <v>253</v>
      </c>
      <c r="C133">
        <v>131</v>
      </c>
      <c r="D133" t="s">
        <v>428</v>
      </c>
      <c r="E133" t="s">
        <v>124</v>
      </c>
      <c r="H133" t="s">
        <v>372</v>
      </c>
      <c r="U133" t="s">
        <v>253</v>
      </c>
    </row>
    <row r="134" spans="1:21" x14ac:dyDescent="0.25">
      <c r="A134" t="s">
        <v>23</v>
      </c>
      <c r="B134" t="s">
        <v>254</v>
      </c>
      <c r="C134">
        <v>132</v>
      </c>
      <c r="D134" t="s">
        <v>428</v>
      </c>
      <c r="E134" t="s">
        <v>124</v>
      </c>
      <c r="H134" t="s">
        <v>373</v>
      </c>
      <c r="U134" t="s">
        <v>254</v>
      </c>
    </row>
    <row r="135" spans="1:21" x14ac:dyDescent="0.25">
      <c r="A135" t="s">
        <v>23</v>
      </c>
      <c r="B135" t="s">
        <v>255</v>
      </c>
      <c r="C135">
        <v>133</v>
      </c>
      <c r="D135" t="s">
        <v>428</v>
      </c>
      <c r="E135" t="s">
        <v>124</v>
      </c>
      <c r="H135" t="s">
        <v>374</v>
      </c>
      <c r="U135" t="s">
        <v>255</v>
      </c>
    </row>
    <row r="136" spans="1:21" x14ac:dyDescent="0.25">
      <c r="A136" t="s">
        <v>23</v>
      </c>
      <c r="B136" t="s">
        <v>256</v>
      </c>
      <c r="C136">
        <v>134</v>
      </c>
      <c r="D136" t="s">
        <v>428</v>
      </c>
      <c r="E136" t="s">
        <v>124</v>
      </c>
      <c r="H136" t="s">
        <v>375</v>
      </c>
      <c r="U136" t="s">
        <v>256</v>
      </c>
    </row>
    <row r="137" spans="1:21" x14ac:dyDescent="0.25">
      <c r="A137" t="s">
        <v>23</v>
      </c>
      <c r="B137" t="s">
        <v>257</v>
      </c>
      <c r="C137">
        <v>135</v>
      </c>
      <c r="D137" t="s">
        <v>428</v>
      </c>
      <c r="E137" t="s">
        <v>124</v>
      </c>
      <c r="H137" t="s">
        <v>376</v>
      </c>
      <c r="U137" t="s">
        <v>257</v>
      </c>
    </row>
    <row r="138" spans="1:21" x14ac:dyDescent="0.25">
      <c r="A138" t="s">
        <v>23</v>
      </c>
      <c r="B138" t="s">
        <v>258</v>
      </c>
      <c r="C138">
        <v>136</v>
      </c>
      <c r="D138" t="s">
        <v>428</v>
      </c>
      <c r="E138" t="s">
        <v>124</v>
      </c>
      <c r="H138" t="s">
        <v>377</v>
      </c>
      <c r="U138" t="s">
        <v>258</v>
      </c>
    </row>
    <row r="139" spans="1:21" x14ac:dyDescent="0.25">
      <c r="A139" t="s">
        <v>23</v>
      </c>
      <c r="B139" t="s">
        <v>259</v>
      </c>
      <c r="C139">
        <v>137</v>
      </c>
      <c r="D139" t="s">
        <v>428</v>
      </c>
      <c r="E139" t="s">
        <v>124</v>
      </c>
      <c r="H139" t="s">
        <v>378</v>
      </c>
      <c r="U139" t="s">
        <v>259</v>
      </c>
    </row>
    <row r="140" spans="1:21" x14ac:dyDescent="0.25">
      <c r="A140" t="s">
        <v>23</v>
      </c>
      <c r="B140" t="s">
        <v>260</v>
      </c>
      <c r="C140">
        <v>138</v>
      </c>
      <c r="D140" t="s">
        <v>428</v>
      </c>
      <c r="E140" t="s">
        <v>124</v>
      </c>
      <c r="H140" t="s">
        <v>379</v>
      </c>
      <c r="U140" t="s">
        <v>260</v>
      </c>
    </row>
    <row r="141" spans="1:21" x14ac:dyDescent="0.25">
      <c r="A141" t="s">
        <v>23</v>
      </c>
      <c r="B141" t="s">
        <v>261</v>
      </c>
      <c r="C141">
        <v>139</v>
      </c>
      <c r="D141" t="s">
        <v>428</v>
      </c>
      <c r="E141" t="s">
        <v>124</v>
      </c>
      <c r="H141" t="s">
        <v>380</v>
      </c>
      <c r="U141" t="s">
        <v>261</v>
      </c>
    </row>
    <row r="142" spans="1:21" x14ac:dyDescent="0.25">
      <c r="A142" t="s">
        <v>23</v>
      </c>
      <c r="B142" t="s">
        <v>262</v>
      </c>
      <c r="C142">
        <v>140</v>
      </c>
      <c r="D142" t="s">
        <v>428</v>
      </c>
      <c r="E142" t="s">
        <v>124</v>
      </c>
      <c r="H142" t="s">
        <v>381</v>
      </c>
      <c r="U142" t="s">
        <v>262</v>
      </c>
    </row>
    <row r="143" spans="1:21" x14ac:dyDescent="0.25">
      <c r="A143" t="s">
        <v>23</v>
      </c>
      <c r="B143" t="s">
        <v>263</v>
      </c>
      <c r="C143">
        <v>141</v>
      </c>
      <c r="D143" t="s">
        <v>428</v>
      </c>
      <c r="E143" t="s">
        <v>124</v>
      </c>
      <c r="H143" t="s">
        <v>382</v>
      </c>
      <c r="U143" t="s">
        <v>263</v>
      </c>
    </row>
    <row r="144" spans="1:21" x14ac:dyDescent="0.25">
      <c r="A144" t="s">
        <v>23</v>
      </c>
      <c r="B144" t="s">
        <v>264</v>
      </c>
      <c r="C144">
        <v>142</v>
      </c>
      <c r="D144" t="s">
        <v>428</v>
      </c>
      <c r="E144" t="s">
        <v>124</v>
      </c>
      <c r="H144" t="s">
        <v>383</v>
      </c>
      <c r="U144" t="s">
        <v>264</v>
      </c>
    </row>
    <row r="145" spans="1:21" x14ac:dyDescent="0.25">
      <c r="A145" t="s">
        <v>23</v>
      </c>
      <c r="B145" t="s">
        <v>265</v>
      </c>
      <c r="C145">
        <v>143</v>
      </c>
      <c r="D145" t="s">
        <v>428</v>
      </c>
      <c r="E145" t="s">
        <v>124</v>
      </c>
      <c r="H145" t="s">
        <v>384</v>
      </c>
      <c r="U145" t="s">
        <v>265</v>
      </c>
    </row>
    <row r="146" spans="1:21" x14ac:dyDescent="0.25">
      <c r="A146" t="s">
        <v>23</v>
      </c>
      <c r="B146" t="s">
        <v>266</v>
      </c>
      <c r="C146">
        <v>144</v>
      </c>
      <c r="D146" t="s">
        <v>428</v>
      </c>
      <c r="E146" t="s">
        <v>124</v>
      </c>
      <c r="H146" t="s">
        <v>385</v>
      </c>
      <c r="U146" t="s">
        <v>266</v>
      </c>
    </row>
    <row r="147" spans="1:21" x14ac:dyDescent="0.25">
      <c r="A147" t="s">
        <v>23</v>
      </c>
      <c r="B147" t="s">
        <v>267</v>
      </c>
      <c r="C147">
        <v>145</v>
      </c>
      <c r="D147" t="s">
        <v>428</v>
      </c>
      <c r="E147" t="s">
        <v>124</v>
      </c>
      <c r="H147" t="s">
        <v>386</v>
      </c>
      <c r="U147" t="s">
        <v>267</v>
      </c>
    </row>
    <row r="148" spans="1:21" x14ac:dyDescent="0.25">
      <c r="A148" t="s">
        <v>23</v>
      </c>
      <c r="B148" t="s">
        <v>268</v>
      </c>
      <c r="C148">
        <v>146</v>
      </c>
      <c r="D148" t="s">
        <v>428</v>
      </c>
      <c r="E148" t="s">
        <v>124</v>
      </c>
      <c r="H148" t="s">
        <v>387</v>
      </c>
      <c r="U148" t="s">
        <v>268</v>
      </c>
    </row>
    <row r="149" spans="1:21" x14ac:dyDescent="0.25">
      <c r="A149" t="s">
        <v>23</v>
      </c>
      <c r="B149" t="s">
        <v>269</v>
      </c>
      <c r="C149">
        <v>147</v>
      </c>
      <c r="D149" t="s">
        <v>428</v>
      </c>
      <c r="E149" t="s">
        <v>124</v>
      </c>
      <c r="H149" t="s">
        <v>388</v>
      </c>
      <c r="U149" t="s">
        <v>269</v>
      </c>
    </row>
    <row r="150" spans="1:21" x14ac:dyDescent="0.25">
      <c r="A150" t="s">
        <v>23</v>
      </c>
      <c r="B150" t="s">
        <v>270</v>
      </c>
      <c r="C150">
        <v>148</v>
      </c>
      <c r="D150" t="s">
        <v>428</v>
      </c>
      <c r="E150" t="s">
        <v>124</v>
      </c>
      <c r="H150" t="s">
        <v>389</v>
      </c>
      <c r="U150" t="s">
        <v>270</v>
      </c>
    </row>
    <row r="151" spans="1:21" x14ac:dyDescent="0.25">
      <c r="A151" t="s">
        <v>23</v>
      </c>
      <c r="B151" t="s">
        <v>271</v>
      </c>
      <c r="C151">
        <v>149</v>
      </c>
      <c r="D151" t="s">
        <v>428</v>
      </c>
      <c r="E151" t="s">
        <v>124</v>
      </c>
      <c r="H151" t="s">
        <v>390</v>
      </c>
      <c r="U151" t="s">
        <v>271</v>
      </c>
    </row>
    <row r="152" spans="1:21" x14ac:dyDescent="0.25">
      <c r="A152" t="s">
        <v>23</v>
      </c>
      <c r="B152" t="s">
        <v>272</v>
      </c>
      <c r="C152">
        <v>150</v>
      </c>
      <c r="D152" t="s">
        <v>428</v>
      </c>
      <c r="E152" t="s">
        <v>124</v>
      </c>
      <c r="H152" t="s">
        <v>391</v>
      </c>
      <c r="U152" t="s">
        <v>272</v>
      </c>
    </row>
    <row r="153" spans="1:21" x14ac:dyDescent="0.25">
      <c r="A153" t="s">
        <v>23</v>
      </c>
      <c r="B153" t="s">
        <v>273</v>
      </c>
      <c r="C153">
        <v>151</v>
      </c>
      <c r="D153" t="s">
        <v>428</v>
      </c>
      <c r="E153" t="s">
        <v>124</v>
      </c>
      <c r="H153" t="s">
        <v>392</v>
      </c>
      <c r="U153" t="s">
        <v>273</v>
      </c>
    </row>
    <row r="154" spans="1:21" x14ac:dyDescent="0.25">
      <c r="A154" t="s">
        <v>23</v>
      </c>
      <c r="B154" t="s">
        <v>274</v>
      </c>
      <c r="C154">
        <v>152</v>
      </c>
      <c r="D154" t="s">
        <v>428</v>
      </c>
      <c r="E154" t="s">
        <v>124</v>
      </c>
      <c r="H154" t="s">
        <v>393</v>
      </c>
      <c r="U154" t="s">
        <v>274</v>
      </c>
    </row>
    <row r="155" spans="1:21" x14ac:dyDescent="0.25">
      <c r="A155" t="s">
        <v>23</v>
      </c>
      <c r="B155" t="s">
        <v>275</v>
      </c>
      <c r="C155">
        <v>153</v>
      </c>
      <c r="D155" t="s">
        <v>428</v>
      </c>
      <c r="E155" t="s">
        <v>124</v>
      </c>
      <c r="H155" t="s">
        <v>394</v>
      </c>
      <c r="U155" t="s">
        <v>275</v>
      </c>
    </row>
    <row r="156" spans="1:21" x14ac:dyDescent="0.25">
      <c r="A156" t="s">
        <v>23</v>
      </c>
      <c r="B156" t="s">
        <v>276</v>
      </c>
      <c r="C156">
        <v>154</v>
      </c>
      <c r="D156" t="s">
        <v>428</v>
      </c>
      <c r="E156" t="s">
        <v>124</v>
      </c>
      <c r="H156" t="s">
        <v>395</v>
      </c>
      <c r="U156" t="s">
        <v>276</v>
      </c>
    </row>
    <row r="157" spans="1:21" x14ac:dyDescent="0.25">
      <c r="A157" t="s">
        <v>22</v>
      </c>
      <c r="B157" t="s">
        <v>277</v>
      </c>
      <c r="C157">
        <v>155</v>
      </c>
      <c r="D157" t="s">
        <v>428</v>
      </c>
      <c r="E157" t="s">
        <v>124</v>
      </c>
      <c r="H157" t="s">
        <v>306</v>
      </c>
      <c r="U157" t="s">
        <v>277</v>
      </c>
    </row>
    <row r="158" spans="1:21" x14ac:dyDescent="0.25">
      <c r="A158" t="s">
        <v>23</v>
      </c>
      <c r="B158" t="s">
        <v>278</v>
      </c>
      <c r="C158">
        <v>156</v>
      </c>
      <c r="D158" t="s">
        <v>428</v>
      </c>
      <c r="E158" t="s">
        <v>124</v>
      </c>
      <c r="H158" t="s">
        <v>396</v>
      </c>
      <c r="U158" t="s">
        <v>278</v>
      </c>
    </row>
    <row r="159" spans="1:21" x14ac:dyDescent="0.25">
      <c r="A159" t="s">
        <v>23</v>
      </c>
      <c r="B159" t="s">
        <v>279</v>
      </c>
      <c r="C159">
        <v>157</v>
      </c>
      <c r="D159" t="s">
        <v>428</v>
      </c>
      <c r="E159" t="s">
        <v>124</v>
      </c>
      <c r="H159" t="s">
        <v>397</v>
      </c>
      <c r="U159" t="s">
        <v>279</v>
      </c>
    </row>
    <row r="160" spans="1:21" x14ac:dyDescent="0.25">
      <c r="A160" t="s">
        <v>23</v>
      </c>
      <c r="B160" t="s">
        <v>280</v>
      </c>
      <c r="C160">
        <v>158</v>
      </c>
      <c r="D160" t="s">
        <v>428</v>
      </c>
      <c r="E160" t="s">
        <v>124</v>
      </c>
      <c r="H160" t="s">
        <v>398</v>
      </c>
      <c r="U160" t="s">
        <v>280</v>
      </c>
    </row>
    <row r="161" spans="1:21" x14ac:dyDescent="0.25">
      <c r="A161" t="s">
        <v>23</v>
      </c>
      <c r="B161" t="s">
        <v>281</v>
      </c>
      <c r="C161">
        <v>159</v>
      </c>
      <c r="D161" t="s">
        <v>428</v>
      </c>
      <c r="E161" t="s">
        <v>124</v>
      </c>
      <c r="H161" t="s">
        <v>399</v>
      </c>
      <c r="U161" t="s">
        <v>281</v>
      </c>
    </row>
    <row r="162" spans="1:21" x14ac:dyDescent="0.25">
      <c r="A162" t="s">
        <v>23</v>
      </c>
      <c r="B162" t="s">
        <v>282</v>
      </c>
      <c r="C162">
        <v>160</v>
      </c>
      <c r="D162" t="s">
        <v>428</v>
      </c>
      <c r="E162" t="s">
        <v>124</v>
      </c>
      <c r="H162" t="s">
        <v>400</v>
      </c>
      <c r="U162" t="s">
        <v>282</v>
      </c>
    </row>
    <row r="163" spans="1:21" x14ac:dyDescent="0.25">
      <c r="A163" t="s">
        <v>23</v>
      </c>
      <c r="B163" t="s">
        <v>283</v>
      </c>
      <c r="C163">
        <v>161</v>
      </c>
      <c r="D163" t="s">
        <v>428</v>
      </c>
      <c r="E163" t="s">
        <v>124</v>
      </c>
      <c r="H163" t="s">
        <v>401</v>
      </c>
      <c r="U163" t="s">
        <v>283</v>
      </c>
    </row>
    <row r="164" spans="1:21" x14ac:dyDescent="0.25">
      <c r="A164" t="s">
        <v>23</v>
      </c>
      <c r="B164" t="s">
        <v>284</v>
      </c>
      <c r="C164">
        <v>162</v>
      </c>
      <c r="D164" t="s">
        <v>428</v>
      </c>
      <c r="E164" t="s">
        <v>124</v>
      </c>
      <c r="H164" t="s">
        <v>402</v>
      </c>
      <c r="U164" t="s">
        <v>284</v>
      </c>
    </row>
    <row r="165" spans="1:21" x14ac:dyDescent="0.25">
      <c r="A165" t="s">
        <v>23</v>
      </c>
      <c r="B165" t="s">
        <v>285</v>
      </c>
      <c r="C165">
        <v>163</v>
      </c>
      <c r="D165" t="s">
        <v>428</v>
      </c>
      <c r="E165" t="s">
        <v>124</v>
      </c>
      <c r="H165" t="s">
        <v>403</v>
      </c>
      <c r="U165" t="s">
        <v>285</v>
      </c>
    </row>
    <row r="166" spans="1:21" x14ac:dyDescent="0.25">
      <c r="A166" t="s">
        <v>23</v>
      </c>
      <c r="B166" t="s">
        <v>286</v>
      </c>
      <c r="C166">
        <v>164</v>
      </c>
      <c r="D166" t="s">
        <v>428</v>
      </c>
      <c r="E166" t="s">
        <v>124</v>
      </c>
      <c r="H166" t="s">
        <v>404</v>
      </c>
      <c r="U166" t="s">
        <v>286</v>
      </c>
    </row>
    <row r="167" spans="1:21" x14ac:dyDescent="0.25">
      <c r="A167" t="s">
        <v>23</v>
      </c>
      <c r="B167" t="s">
        <v>287</v>
      </c>
      <c r="C167">
        <v>165</v>
      </c>
      <c r="D167" t="s">
        <v>428</v>
      </c>
      <c r="E167" t="s">
        <v>124</v>
      </c>
      <c r="H167" t="s">
        <v>405</v>
      </c>
      <c r="U167" t="s">
        <v>287</v>
      </c>
    </row>
    <row r="168" spans="1:21" x14ac:dyDescent="0.25">
      <c r="A168" t="s">
        <v>23</v>
      </c>
      <c r="B168" t="s">
        <v>288</v>
      </c>
      <c r="C168">
        <v>166</v>
      </c>
      <c r="D168" t="s">
        <v>428</v>
      </c>
      <c r="E168" t="s">
        <v>124</v>
      </c>
      <c r="H168" t="s">
        <v>406</v>
      </c>
      <c r="U168" t="s">
        <v>288</v>
      </c>
    </row>
    <row r="169" spans="1:21" x14ac:dyDescent="0.25">
      <c r="A169" t="s">
        <v>23</v>
      </c>
      <c r="B169" t="s">
        <v>289</v>
      </c>
      <c r="C169">
        <v>167</v>
      </c>
      <c r="D169" t="s">
        <v>428</v>
      </c>
      <c r="E169" t="s">
        <v>124</v>
      </c>
      <c r="H169" t="s">
        <v>407</v>
      </c>
      <c r="U169" t="s">
        <v>289</v>
      </c>
    </row>
    <row r="170" spans="1:21" x14ac:dyDescent="0.25">
      <c r="A170" t="s">
        <v>23</v>
      </c>
      <c r="B170" t="s">
        <v>290</v>
      </c>
      <c r="C170">
        <v>168</v>
      </c>
      <c r="D170" t="s">
        <v>428</v>
      </c>
      <c r="E170" t="s">
        <v>124</v>
      </c>
      <c r="H170" t="s">
        <v>408</v>
      </c>
      <c r="U170" t="s">
        <v>290</v>
      </c>
    </row>
    <row r="171" spans="1:21" x14ac:dyDescent="0.25">
      <c r="A171" t="s">
        <v>23</v>
      </c>
      <c r="B171" t="s">
        <v>291</v>
      </c>
      <c r="C171">
        <v>169</v>
      </c>
      <c r="D171" t="s">
        <v>428</v>
      </c>
      <c r="E171" t="s">
        <v>124</v>
      </c>
      <c r="H171" t="s">
        <v>409</v>
      </c>
      <c r="U171" t="s">
        <v>291</v>
      </c>
    </row>
    <row r="172" spans="1:21" x14ac:dyDescent="0.25">
      <c r="A172" t="s">
        <v>23</v>
      </c>
      <c r="B172" t="s">
        <v>292</v>
      </c>
      <c r="C172">
        <v>170</v>
      </c>
      <c r="D172" t="s">
        <v>428</v>
      </c>
      <c r="E172" t="s">
        <v>124</v>
      </c>
      <c r="H172" t="s">
        <v>410</v>
      </c>
      <c r="U172" t="s">
        <v>292</v>
      </c>
    </row>
    <row r="173" spans="1:21" x14ac:dyDescent="0.25">
      <c r="A173" t="s">
        <v>23</v>
      </c>
      <c r="B173" t="s">
        <v>293</v>
      </c>
      <c r="C173">
        <v>171</v>
      </c>
      <c r="D173" t="s">
        <v>428</v>
      </c>
      <c r="E173" t="s">
        <v>124</v>
      </c>
      <c r="H173" t="s">
        <v>411</v>
      </c>
      <c r="U173" t="s">
        <v>293</v>
      </c>
    </row>
    <row r="174" spans="1:21" x14ac:dyDescent="0.25">
      <c r="A174" t="s">
        <v>23</v>
      </c>
      <c r="B174" t="s">
        <v>294</v>
      </c>
      <c r="C174">
        <v>172</v>
      </c>
      <c r="D174" t="s">
        <v>428</v>
      </c>
      <c r="E174" t="s">
        <v>124</v>
      </c>
      <c r="H174" t="s">
        <v>412</v>
      </c>
      <c r="U174" t="s">
        <v>294</v>
      </c>
    </row>
    <row r="175" spans="1:21" x14ac:dyDescent="0.25">
      <c r="A175" t="s">
        <v>23</v>
      </c>
      <c r="B175" t="s">
        <v>295</v>
      </c>
      <c r="C175">
        <v>173</v>
      </c>
      <c r="D175" t="s">
        <v>428</v>
      </c>
      <c r="E175" t="s">
        <v>124</v>
      </c>
      <c r="H175" t="s">
        <v>413</v>
      </c>
      <c r="U175" t="s">
        <v>295</v>
      </c>
    </row>
    <row r="176" spans="1:21" x14ac:dyDescent="0.25">
      <c r="A176" t="s">
        <v>23</v>
      </c>
      <c r="B176" t="s">
        <v>296</v>
      </c>
      <c r="C176">
        <v>174</v>
      </c>
      <c r="D176" t="s">
        <v>428</v>
      </c>
      <c r="E176" t="s">
        <v>124</v>
      </c>
      <c r="H176" t="s">
        <v>414</v>
      </c>
      <c r="U176" t="s">
        <v>296</v>
      </c>
    </row>
    <row r="177" spans="1:21" x14ac:dyDescent="0.25">
      <c r="A177" t="s">
        <v>23</v>
      </c>
      <c r="B177" t="s">
        <v>297</v>
      </c>
      <c r="C177">
        <v>175</v>
      </c>
      <c r="D177" t="s">
        <v>428</v>
      </c>
      <c r="E177" t="s">
        <v>124</v>
      </c>
      <c r="H177" t="s">
        <v>415</v>
      </c>
      <c r="U177" t="s">
        <v>297</v>
      </c>
    </row>
    <row r="178" spans="1:21" x14ac:dyDescent="0.25">
      <c r="A178" t="s">
        <v>23</v>
      </c>
      <c r="B178" t="s">
        <v>298</v>
      </c>
      <c r="C178">
        <v>176</v>
      </c>
      <c r="D178" t="s">
        <v>428</v>
      </c>
      <c r="E178" t="s">
        <v>124</v>
      </c>
      <c r="H178" t="s">
        <v>416</v>
      </c>
      <c r="U178" t="s">
        <v>298</v>
      </c>
    </row>
    <row r="179" spans="1:21" x14ac:dyDescent="0.25">
      <c r="A179" t="s">
        <v>23</v>
      </c>
      <c r="B179" t="s">
        <v>299</v>
      </c>
      <c r="C179">
        <v>177</v>
      </c>
      <c r="D179" t="s">
        <v>428</v>
      </c>
      <c r="E179" t="s">
        <v>124</v>
      </c>
      <c r="H179" t="s">
        <v>417</v>
      </c>
      <c r="U179" t="s">
        <v>299</v>
      </c>
    </row>
    <row r="180" spans="1:21" x14ac:dyDescent="0.25">
      <c r="A180" t="s">
        <v>23</v>
      </c>
      <c r="B180" t="s">
        <v>300</v>
      </c>
      <c r="C180">
        <v>178</v>
      </c>
      <c r="D180" t="s">
        <v>428</v>
      </c>
      <c r="E180" t="s">
        <v>124</v>
      </c>
      <c r="H180" t="s">
        <v>418</v>
      </c>
      <c r="U180" t="s">
        <v>300</v>
      </c>
    </row>
    <row r="181" spans="1:21" x14ac:dyDescent="0.25">
      <c r="A181" t="s">
        <v>23</v>
      </c>
      <c r="B181" t="s">
        <v>301</v>
      </c>
      <c r="C181">
        <v>179</v>
      </c>
      <c r="D181" t="s">
        <v>428</v>
      </c>
      <c r="E181" t="s">
        <v>124</v>
      </c>
      <c r="H181" t="s">
        <v>419</v>
      </c>
      <c r="U181" t="s">
        <v>301</v>
      </c>
    </row>
    <row r="182" spans="1:21" x14ac:dyDescent="0.25">
      <c r="A182" t="s">
        <v>22</v>
      </c>
      <c r="B182" t="s">
        <v>302</v>
      </c>
      <c r="C182">
        <v>180</v>
      </c>
      <c r="D182" t="s">
        <v>428</v>
      </c>
      <c r="E182" t="s">
        <v>124</v>
      </c>
      <c r="H182" t="s">
        <v>306</v>
      </c>
      <c r="U182" t="s">
        <v>302</v>
      </c>
    </row>
    <row r="183" spans="1:21" x14ac:dyDescent="0.25">
      <c r="A183" t="s">
        <v>22</v>
      </c>
      <c r="B183" t="s">
        <v>426</v>
      </c>
      <c r="C183">
        <v>181</v>
      </c>
      <c r="D183" t="s">
        <v>428</v>
      </c>
      <c r="E183" t="s">
        <v>124</v>
      </c>
      <c r="H183" t="s">
        <v>427</v>
      </c>
      <c r="U183" t="s">
        <v>426</v>
      </c>
    </row>
    <row r="184" spans="1:21" x14ac:dyDescent="0.25">
      <c r="A184" t="s">
        <v>22</v>
      </c>
      <c r="B184" t="s">
        <v>303</v>
      </c>
      <c r="C184">
        <v>182</v>
      </c>
      <c r="D184" t="s">
        <v>428</v>
      </c>
      <c r="E184" t="s">
        <v>124</v>
      </c>
      <c r="H184" t="s">
        <v>73</v>
      </c>
      <c r="U184" t="s">
        <v>303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concatenate function</vt:lpstr>
      <vt:lpstr>MG sequence template for micros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2024-09-06T04:12:15Z</dcterms:created>
  <dcterms:modified xsi:type="dcterms:W3CDTF">2025-11-21T03:47:26Z</dcterms:modified>
</cp:coreProperties>
</file>